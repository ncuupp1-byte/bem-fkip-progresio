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K BARU\organisasi-keuangan\"/>
    </mc:Choice>
  </mc:AlternateContent>
  <bookViews>
    <workbookView xWindow="0" yWindow="0" windowWidth="20460" windowHeight="9990"/>
  </bookViews>
  <sheets>
    <sheet name="Cover" sheetId="1" r:id="rId1"/>
    <sheet name="Buku Kas" sheetId="2" r:id="rId2"/>
    <sheet name="Kegiatan" sheetId="3" r:id="rId3"/>
    <sheet name="RAB" sheetId="4" r:id="rId4"/>
    <sheet name="Laporan Bulanan" sheetId="5" r:id="rId5"/>
    <sheet name="Dashboard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6" l="1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F6" i="6"/>
  <c r="E6" i="6"/>
  <c r="D6" i="6"/>
  <c r="C6" i="6"/>
  <c r="B6" i="6"/>
  <c r="B3" i="6"/>
  <c r="E15" i="5"/>
  <c r="D15" i="5"/>
  <c r="C15" i="5"/>
  <c r="E14" i="5"/>
  <c r="E13" i="5"/>
  <c r="E12" i="5"/>
  <c r="E11" i="5"/>
  <c r="E10" i="5"/>
  <c r="E9" i="5"/>
  <c r="E8" i="5"/>
  <c r="E7" i="5"/>
  <c r="E6" i="5"/>
  <c r="E5" i="5"/>
  <c r="E4" i="5"/>
  <c r="E3" i="5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J55" i="2"/>
  <c r="I55" i="2"/>
  <c r="H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H2" i="2"/>
  <c r="C2" i="2"/>
</calcChain>
</file>

<file path=xl/sharedStrings.xml><?xml version="1.0" encoding="utf-8"?>
<sst xmlns="http://schemas.openxmlformats.org/spreadsheetml/2006/main" count="123" uniqueCount="73">
  <si>
    <t>LAPORAN KEUANGAN ORGANISASI</t>
  </si>
  <si>
    <t>Nama Organisasi</t>
  </si>
  <si>
    <t>Divisi / Bidang</t>
  </si>
  <si>
    <t>Ketua Organisasi</t>
  </si>
  <si>
    <t>Bendahara</t>
  </si>
  <si>
    <t>Periode Kepengurusan</t>
  </si>
  <si>
    <t>Institusi / Kampus</t>
  </si>
  <si>
    <t>Tanggal Dibuat</t>
  </si>
  <si>
    <t>31/08/2026</t>
  </si>
  <si>
    <t>BUKU KAS UMUM - BEM / HIMPUNAN</t>
  </si>
  <si>
    <t>Organisasi:</t>
  </si>
  <si>
    <t>Periode:</t>
  </si>
  <si>
    <t>No</t>
  </si>
  <si>
    <t>Tanggal</t>
  </si>
  <si>
    <t>Jenis</t>
  </si>
  <si>
    <t>Kategori</t>
  </si>
  <si>
    <t>Deskripsi</t>
  </si>
  <si>
    <t>Kegiatan</t>
  </si>
  <si>
    <t>No Bukti</t>
  </si>
  <si>
    <t>Pemasukan (Rp)</t>
  </si>
  <si>
    <t>Pengeluaran (Rp)</t>
  </si>
  <si>
    <t>Saldo (Rp)</t>
  </si>
  <si>
    <t>Keterangan</t>
  </si>
  <si>
    <t>SALDO AWAL</t>
  </si>
  <si>
    <t>TOTAL</t>
  </si>
  <si>
    <t>DAFTAR KEGIATAN / PROYEK</t>
  </si>
  <si>
    <t>Nama Kegiatan</t>
  </si>
  <si>
    <t>Tgl Mulai</t>
  </si>
  <si>
    <t>Tgl Selesai</t>
  </si>
  <si>
    <t>Penanggung Jawab</t>
  </si>
  <si>
    <t>Anggaran (Rp)</t>
  </si>
  <si>
    <t>Realisasi (Rp)</t>
  </si>
  <si>
    <t>Sisa (Rp)</t>
  </si>
  <si>
    <t>% Serapan</t>
  </si>
  <si>
    <t>Status</t>
  </si>
  <si>
    <t>Aktif</t>
  </si>
  <si>
    <t>RENCANA ANGGARAN BIAYA (RAB)</t>
  </si>
  <si>
    <t>Uraian Kegiatan</t>
  </si>
  <si>
    <t>Program/Kegiatan</t>
  </si>
  <si>
    <t>Volume</t>
  </si>
  <si>
    <t>Satuan</t>
  </si>
  <si>
    <t>Harga Satuan (Rp)</t>
  </si>
  <si>
    <t>Total (Rp)</t>
  </si>
  <si>
    <t>TOTAL RAB</t>
  </si>
  <si>
    <t>REKAP LAPORAN KEUANGAN BULANAN</t>
  </si>
  <si>
    <t>Bulan</t>
  </si>
  <si>
    <t>Total Pemasukan</t>
  </si>
  <si>
    <t>Total Pengeluaran</t>
  </si>
  <si>
    <t>Surplus/Defisit</t>
  </si>
  <si>
    <t>% Realisasi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</si>
  <si>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</si>
  <si>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</si>
  <si>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</si>
  <si>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</si>
  <si>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</si>
  <si>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</si>
  <si>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</si>
  <si>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</si>
  <si>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</si>
  <si>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</si>
  <si>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</si>
  <si>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</si>
  <si>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TAHUNAN</t>
  </si>
  <si>
    <t>DASHBOARD KEUANGAN ORGANISASI</t>
  </si>
  <si>
    <t>TOTAL PEMASUKAN</t>
  </si>
  <si>
    <t>TOTAL PENGELUARAN</t>
  </si>
  <si>
    <t>SALDO BERSIH</t>
  </si>
  <si>
    <t>JML KEGIATAN</t>
  </si>
  <si>
    <t>PETUNJUK: Isi data di sheet Buku Kas, Kegiatan, dan RAB. Dashboard otomatis terupdate.</t>
  </si>
  <si>
    <t>REKAP PER BULAN</t>
  </si>
  <si>
    <t>Pemasukan</t>
  </si>
  <si>
    <t>Pengeluaran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</si>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</sst>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p &quot;#.##0"/>
    <numFmt numFmtId="165" formatCode="#,#00&quot;%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DC262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3B82F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0" fillId="0" borderId="2" xfId="0" applyBorder="1"/>
    <xf numFmtId="0" fontId="4" fillId="3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164" fontId="1" fillId="4" borderId="2" xfId="0" applyNumberFormat="1" applyFont="1" applyFill="1" applyBorder="1"/>
    <xf numFmtId="0" fontId="0" fillId="0" borderId="2" xfId="0" applyFill="1" applyBorder="1"/>
    <xf numFmtId="164" fontId="0" fillId="0" borderId="2" xfId="0" applyNumberFormat="1" applyFill="1" applyBorder="1"/>
    <xf numFmtId="164" fontId="0" fillId="5" borderId="2" xfId="0" applyNumberFormat="1" applyFill="1" applyBorder="1"/>
    <xf numFmtId="164" fontId="0" fillId="6" borderId="2" xfId="0" applyNumberFormat="1" applyFill="1" applyBorder="1"/>
    <xf numFmtId="0" fontId="5" fillId="7" borderId="2" xfId="0" applyFont="1" applyFill="1" applyBorder="1"/>
    <xf numFmtId="164" fontId="5" fillId="7" borderId="2" xfId="0" applyNumberFormat="1" applyFont="1" applyFill="1" applyBorder="1"/>
    <xf numFmtId="165" fontId="0" fillId="0" borderId="2" xfId="0" applyNumberFormat="1" applyFill="1" applyBorder="1"/>
    <xf numFmtId="0" fontId="1" fillId="7" borderId="2" xfId="0" applyFont="1" applyFill="1" applyBorder="1"/>
    <xf numFmtId="164" fontId="1" fillId="7" borderId="2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164" fontId="8" fillId="7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9" fillId="7" borderId="2" xfId="0" applyFont="1" applyFill="1" applyBorder="1"/>
    <xf numFmtId="0" fontId="0" fillId="0" borderId="2" xfId="0" applyBorder="1"/>
    <xf numFmtId="0" fontId="2" fillId="9" borderId="1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B1:E10"/>
  <sheetViews>
    <sheetView tabSelected="1" workbookViewId="0"/>
  </sheetViews>
  <sheetFormatPr defaultRowHeight="15" x14ac:dyDescent="0.25"/>
  <cols>
    <col min="2" max="2" width="28.7109375" customWidth="1"/>
    <col min="3" max="3" width="38.7109375" customWidth="1"/>
  </cols>
  <sheetData>
    <row r="1" spans="2:5" ht="9.9499999999999993" customHeight="1" x14ac:dyDescent="0.25"/>
    <row r="2" spans="2:5" ht="50.1" customHeight="1" x14ac:dyDescent="0.25">
      <c r="B2" s="3" t="s">
        <v>0</v>
      </c>
      <c r="C2" s="1"/>
      <c r="D2" s="1"/>
      <c r="E2" s="1"/>
    </row>
    <row r="3" spans="2:5" ht="9.9499999999999993" customHeight="1" x14ac:dyDescent="0.25"/>
    <row r="4" spans="2:5" ht="24.95" customHeight="1" x14ac:dyDescent="0.25">
      <c r="B4" s="4" t="s">
        <v>1</v>
      </c>
      <c r="C4" s="5"/>
      <c r="D4" s="5"/>
    </row>
    <row r="5" spans="2:5" ht="24.95" customHeight="1" x14ac:dyDescent="0.25">
      <c r="B5" s="4" t="s">
        <v>2</v>
      </c>
      <c r="C5" s="5"/>
      <c r="D5" s="5"/>
    </row>
    <row r="6" spans="2:5" ht="24.95" customHeight="1" x14ac:dyDescent="0.25">
      <c r="B6" s="4" t="s">
        <v>3</v>
      </c>
      <c r="C6" s="5"/>
      <c r="D6" s="5"/>
    </row>
    <row r="7" spans="2:5" ht="24.95" customHeight="1" x14ac:dyDescent="0.25">
      <c r="B7" s="4" t="s">
        <v>4</v>
      </c>
      <c r="C7" s="5"/>
      <c r="D7" s="5"/>
    </row>
    <row r="8" spans="2:5" ht="24.95" customHeight="1" x14ac:dyDescent="0.25">
      <c r="B8" s="4" t="s">
        <v>5</v>
      </c>
      <c r="C8" s="5"/>
      <c r="D8" s="5"/>
    </row>
    <row r="9" spans="2:5" ht="24.95" customHeight="1" x14ac:dyDescent="0.25">
      <c r="B9" s="4" t="s">
        <v>6</v>
      </c>
      <c r="C9" s="5"/>
      <c r="D9" s="5"/>
    </row>
    <row r="10" spans="2:5" ht="24.95" customHeight="1" x14ac:dyDescent="0.25">
      <c r="B10" s="4" t="s">
        <v>7</v>
      </c>
      <c r="C10" s="5" t="s">
        <v>8</v>
      </c>
      <c r="D10" s="5"/>
    </row>
  </sheetData>
  <mergeCells count="1">
    <mergeCell ref="B2:E2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K55"/>
  <sheetViews>
    <sheetView workbookViewId="0">
      <pane ySplit="3" topLeftCell="A4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13.7109375" customWidth="1"/>
    <col min="3" max="3" width="14.7109375" customWidth="1"/>
    <col min="4" max="4" width="20.7109375" customWidth="1"/>
    <col min="5" max="5" width="35.7109375" customWidth="1"/>
    <col min="6" max="6" width="25.7109375" customWidth="1"/>
    <col min="7" max="7" width="16.7109375" customWidth="1"/>
    <col min="8" max="10" width="18.7109375" customWidth="1"/>
    <col min="11" max="11" width="22.7109375" customWidth="1"/>
  </cols>
  <sheetData>
    <row r="1" spans="1:11" ht="30" customHeight="1" x14ac:dyDescent="0.25">
      <c r="A1" s="2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6" t="s">
        <v>10</v>
      </c>
      <c r="B2" s="6"/>
      <c r="C2" s="6">
        <f>Cover!C4</f>
        <v>0</v>
      </c>
      <c r="D2" s="6"/>
      <c r="E2" s="6"/>
      <c r="F2" s="6" t="s">
        <v>11</v>
      </c>
      <c r="G2" s="6"/>
      <c r="H2" s="6">
        <f>Cover!C8</f>
        <v>0</v>
      </c>
      <c r="I2" s="6"/>
      <c r="J2" s="6"/>
      <c r="K2" s="6"/>
    </row>
    <row r="3" spans="1:11" ht="27.95" customHeigh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</row>
    <row r="4" spans="1:11" ht="21.95" customHeight="1" x14ac:dyDescent="0.25">
      <c r="A4" s="8"/>
      <c r="B4" s="8"/>
      <c r="C4" s="8"/>
      <c r="D4" s="8"/>
      <c r="E4" s="8" t="s">
        <v>23</v>
      </c>
      <c r="F4" s="8"/>
      <c r="G4" s="8"/>
      <c r="H4" s="9">
        <v>0</v>
      </c>
      <c r="I4" s="9">
        <v>0</v>
      </c>
      <c r="J4" s="9">
        <f>H4-I4</f>
        <v>0</v>
      </c>
      <c r="K4" s="8"/>
    </row>
    <row r="5" spans="1:11" ht="18" customHeight="1" x14ac:dyDescent="0.25">
      <c r="A5" s="10">
        <v>1</v>
      </c>
      <c r="B5" s="10"/>
      <c r="C5" s="10"/>
      <c r="D5" s="10"/>
      <c r="E5" s="10"/>
      <c r="F5" s="10"/>
      <c r="G5" s="10"/>
      <c r="H5" s="12">
        <v>0</v>
      </c>
      <c r="I5" s="13">
        <v>0</v>
      </c>
      <c r="J5" s="11">
        <f>J4+H5-I5</f>
        <v>0</v>
      </c>
      <c r="K5" s="10"/>
    </row>
    <row r="6" spans="1:11" ht="18" customHeight="1" x14ac:dyDescent="0.25">
      <c r="A6" s="10">
        <v>2</v>
      </c>
      <c r="B6" s="10"/>
      <c r="C6" s="10"/>
      <c r="D6" s="10"/>
      <c r="E6" s="10"/>
      <c r="F6" s="10"/>
      <c r="G6" s="10"/>
      <c r="H6" s="12">
        <v>0</v>
      </c>
      <c r="I6" s="13">
        <v>0</v>
      </c>
      <c r="J6" s="11">
        <f>J5+H6-I6</f>
        <v>0</v>
      </c>
      <c r="K6" s="10"/>
    </row>
    <row r="7" spans="1:11" ht="18" customHeight="1" x14ac:dyDescent="0.25">
      <c r="A7" s="10">
        <v>3</v>
      </c>
      <c r="B7" s="10"/>
      <c r="C7" s="10"/>
      <c r="D7" s="10"/>
      <c r="E7" s="10"/>
      <c r="F7" s="10"/>
      <c r="G7" s="10"/>
      <c r="H7" s="12">
        <v>0</v>
      </c>
      <c r="I7" s="13">
        <v>0</v>
      </c>
      <c r="J7" s="11">
        <f>J6+H7-I7</f>
        <v>0</v>
      </c>
      <c r="K7" s="10"/>
    </row>
    <row r="8" spans="1:11" ht="18" customHeight="1" x14ac:dyDescent="0.25">
      <c r="A8" s="10">
        <v>4</v>
      </c>
      <c r="B8" s="10"/>
      <c r="C8" s="10"/>
      <c r="D8" s="10"/>
      <c r="E8" s="10"/>
      <c r="F8" s="10"/>
      <c r="G8" s="10"/>
      <c r="H8" s="12">
        <v>0</v>
      </c>
      <c r="I8" s="13">
        <v>0</v>
      </c>
      <c r="J8" s="11">
        <f>J7+H8-I8</f>
        <v>0</v>
      </c>
      <c r="K8" s="10"/>
    </row>
    <row r="9" spans="1:11" ht="18" customHeight="1" x14ac:dyDescent="0.25">
      <c r="A9" s="10">
        <v>5</v>
      </c>
      <c r="B9" s="10"/>
      <c r="C9" s="10"/>
      <c r="D9" s="10"/>
      <c r="E9" s="10"/>
      <c r="F9" s="10"/>
      <c r="G9" s="10"/>
      <c r="H9" s="12">
        <v>0</v>
      </c>
      <c r="I9" s="13">
        <v>0</v>
      </c>
      <c r="J9" s="11">
        <f>J8+H9-I9</f>
        <v>0</v>
      </c>
      <c r="K9" s="10"/>
    </row>
    <row r="10" spans="1:11" ht="18" customHeight="1" x14ac:dyDescent="0.25">
      <c r="A10" s="10">
        <v>6</v>
      </c>
      <c r="B10" s="10"/>
      <c r="C10" s="10"/>
      <c r="D10" s="10"/>
      <c r="E10" s="10"/>
      <c r="F10" s="10"/>
      <c r="G10" s="10"/>
      <c r="H10" s="12">
        <v>0</v>
      </c>
      <c r="I10" s="13">
        <v>0</v>
      </c>
      <c r="J10" s="11">
        <f>J9+H10-I10</f>
        <v>0</v>
      </c>
      <c r="K10" s="10"/>
    </row>
    <row r="11" spans="1:11" ht="18" customHeight="1" x14ac:dyDescent="0.25">
      <c r="A11" s="10">
        <v>7</v>
      </c>
      <c r="B11" s="10"/>
      <c r="C11" s="10"/>
      <c r="D11" s="10"/>
      <c r="E11" s="10"/>
      <c r="F11" s="10"/>
      <c r="G11" s="10"/>
      <c r="H11" s="12">
        <v>0</v>
      </c>
      <c r="I11" s="13">
        <v>0</v>
      </c>
      <c r="J11" s="11">
        <f>J10+H11-I11</f>
        <v>0</v>
      </c>
      <c r="K11" s="10"/>
    </row>
    <row r="12" spans="1:11" ht="18" customHeight="1" x14ac:dyDescent="0.25">
      <c r="A12" s="10">
        <v>8</v>
      </c>
      <c r="B12" s="10"/>
      <c r="C12" s="10"/>
      <c r="D12" s="10"/>
      <c r="E12" s="10"/>
      <c r="F12" s="10"/>
      <c r="G12" s="10"/>
      <c r="H12" s="12">
        <v>0</v>
      </c>
      <c r="I12" s="13">
        <v>0</v>
      </c>
      <c r="J12" s="11">
        <f>J11+H12-I12</f>
        <v>0</v>
      </c>
      <c r="K12" s="10"/>
    </row>
    <row r="13" spans="1:11" ht="18" customHeight="1" x14ac:dyDescent="0.25">
      <c r="A13" s="10">
        <v>9</v>
      </c>
      <c r="B13" s="10"/>
      <c r="C13" s="10"/>
      <c r="D13" s="10"/>
      <c r="E13" s="10"/>
      <c r="F13" s="10"/>
      <c r="G13" s="10"/>
      <c r="H13" s="12">
        <v>0</v>
      </c>
      <c r="I13" s="13">
        <v>0</v>
      </c>
      <c r="J13" s="11">
        <f>J12+H13-I13</f>
        <v>0</v>
      </c>
      <c r="K13" s="10"/>
    </row>
    <row r="14" spans="1:11" ht="18" customHeight="1" x14ac:dyDescent="0.25">
      <c r="A14" s="10">
        <v>10</v>
      </c>
      <c r="B14" s="10"/>
      <c r="C14" s="10"/>
      <c r="D14" s="10"/>
      <c r="E14" s="10"/>
      <c r="F14" s="10"/>
      <c r="G14" s="10"/>
      <c r="H14" s="12">
        <v>0</v>
      </c>
      <c r="I14" s="13">
        <v>0</v>
      </c>
      <c r="J14" s="11">
        <f>J13+H14-I14</f>
        <v>0</v>
      </c>
      <c r="K14" s="10"/>
    </row>
    <row r="15" spans="1:11" ht="18" customHeight="1" x14ac:dyDescent="0.25">
      <c r="A15" s="10">
        <v>11</v>
      </c>
      <c r="B15" s="10"/>
      <c r="C15" s="10"/>
      <c r="D15" s="10"/>
      <c r="E15" s="10"/>
      <c r="F15" s="10"/>
      <c r="G15" s="10"/>
      <c r="H15" s="12">
        <v>0</v>
      </c>
      <c r="I15" s="13">
        <v>0</v>
      </c>
      <c r="J15" s="11">
        <f>J14+H15-I15</f>
        <v>0</v>
      </c>
      <c r="K15" s="10"/>
    </row>
    <row r="16" spans="1:11" ht="18" customHeight="1" x14ac:dyDescent="0.25">
      <c r="A16" s="10">
        <v>12</v>
      </c>
      <c r="B16" s="10"/>
      <c r="C16" s="10"/>
      <c r="D16" s="10"/>
      <c r="E16" s="10"/>
      <c r="F16" s="10"/>
      <c r="G16" s="10"/>
      <c r="H16" s="12">
        <v>0</v>
      </c>
      <c r="I16" s="13">
        <v>0</v>
      </c>
      <c r="J16" s="11">
        <f>J15+H16-I16</f>
        <v>0</v>
      </c>
      <c r="K16" s="10"/>
    </row>
    <row r="17" spans="1:11" ht="18" customHeight="1" x14ac:dyDescent="0.25">
      <c r="A17" s="10">
        <v>13</v>
      </c>
      <c r="B17" s="10"/>
      <c r="C17" s="10"/>
      <c r="D17" s="10"/>
      <c r="E17" s="10"/>
      <c r="F17" s="10"/>
      <c r="G17" s="10"/>
      <c r="H17" s="12">
        <v>0</v>
      </c>
      <c r="I17" s="13">
        <v>0</v>
      </c>
      <c r="J17" s="11">
        <f>J16+H17-I17</f>
        <v>0</v>
      </c>
      <c r="K17" s="10"/>
    </row>
    <row r="18" spans="1:11" ht="18" customHeight="1" x14ac:dyDescent="0.25">
      <c r="A18" s="10">
        <v>14</v>
      </c>
      <c r="B18" s="10"/>
      <c r="C18" s="10"/>
      <c r="D18" s="10"/>
      <c r="E18" s="10"/>
      <c r="F18" s="10"/>
      <c r="G18" s="10"/>
      <c r="H18" s="12">
        <v>0</v>
      </c>
      <c r="I18" s="13">
        <v>0</v>
      </c>
      <c r="J18" s="11">
        <f>J17+H18-I18</f>
        <v>0</v>
      </c>
      <c r="K18" s="10"/>
    </row>
    <row r="19" spans="1:11" ht="18" customHeight="1" x14ac:dyDescent="0.25">
      <c r="A19" s="10">
        <v>15</v>
      </c>
      <c r="B19" s="10"/>
      <c r="C19" s="10"/>
      <c r="D19" s="10"/>
      <c r="E19" s="10"/>
      <c r="F19" s="10"/>
      <c r="G19" s="10"/>
      <c r="H19" s="12">
        <v>0</v>
      </c>
      <c r="I19" s="13">
        <v>0</v>
      </c>
      <c r="J19" s="11">
        <f>J18+H19-I19</f>
        <v>0</v>
      </c>
      <c r="K19" s="10"/>
    </row>
    <row r="20" spans="1:11" ht="18" customHeight="1" x14ac:dyDescent="0.25">
      <c r="A20" s="10">
        <v>16</v>
      </c>
      <c r="B20" s="10"/>
      <c r="C20" s="10"/>
      <c r="D20" s="10"/>
      <c r="E20" s="10"/>
      <c r="F20" s="10"/>
      <c r="G20" s="10"/>
      <c r="H20" s="12">
        <v>0</v>
      </c>
      <c r="I20" s="13">
        <v>0</v>
      </c>
      <c r="J20" s="11">
        <f>J19+H20-I20</f>
        <v>0</v>
      </c>
      <c r="K20" s="10"/>
    </row>
    <row r="21" spans="1:11" ht="18" customHeight="1" x14ac:dyDescent="0.25">
      <c r="A21" s="10">
        <v>17</v>
      </c>
      <c r="B21" s="10"/>
      <c r="C21" s="10"/>
      <c r="D21" s="10"/>
      <c r="E21" s="10"/>
      <c r="F21" s="10"/>
      <c r="G21" s="10"/>
      <c r="H21" s="12">
        <v>0</v>
      </c>
      <c r="I21" s="13">
        <v>0</v>
      </c>
      <c r="J21" s="11">
        <f>J20+H21-I21</f>
        <v>0</v>
      </c>
      <c r="K21" s="10"/>
    </row>
    <row r="22" spans="1:11" ht="18" customHeight="1" x14ac:dyDescent="0.25">
      <c r="A22" s="10">
        <v>18</v>
      </c>
      <c r="B22" s="10"/>
      <c r="C22" s="10"/>
      <c r="D22" s="10"/>
      <c r="E22" s="10"/>
      <c r="F22" s="10"/>
      <c r="G22" s="10"/>
      <c r="H22" s="12">
        <v>0</v>
      </c>
      <c r="I22" s="13">
        <v>0</v>
      </c>
      <c r="J22" s="11">
        <f>J21+H22-I22</f>
        <v>0</v>
      </c>
      <c r="K22" s="10"/>
    </row>
    <row r="23" spans="1:11" ht="18" customHeight="1" x14ac:dyDescent="0.25">
      <c r="A23" s="10">
        <v>19</v>
      </c>
      <c r="B23" s="10"/>
      <c r="C23" s="10"/>
      <c r="D23" s="10"/>
      <c r="E23" s="10"/>
      <c r="F23" s="10"/>
      <c r="G23" s="10"/>
      <c r="H23" s="12">
        <v>0</v>
      </c>
      <c r="I23" s="13">
        <v>0</v>
      </c>
      <c r="J23" s="11">
        <f>J22+H23-I23</f>
        <v>0</v>
      </c>
      <c r="K23" s="10"/>
    </row>
    <row r="24" spans="1:11" ht="18" customHeight="1" x14ac:dyDescent="0.25">
      <c r="A24" s="10">
        <v>20</v>
      </c>
      <c r="B24" s="10"/>
      <c r="C24" s="10"/>
      <c r="D24" s="10"/>
      <c r="E24" s="10"/>
      <c r="F24" s="10"/>
      <c r="G24" s="10"/>
      <c r="H24" s="12">
        <v>0</v>
      </c>
      <c r="I24" s="13">
        <v>0</v>
      </c>
      <c r="J24" s="11">
        <f>J23+H24-I24</f>
        <v>0</v>
      </c>
      <c r="K24" s="10"/>
    </row>
    <row r="25" spans="1:11" ht="18" customHeight="1" x14ac:dyDescent="0.25">
      <c r="A25" s="10">
        <v>21</v>
      </c>
      <c r="B25" s="10"/>
      <c r="C25" s="10"/>
      <c r="D25" s="10"/>
      <c r="E25" s="10"/>
      <c r="F25" s="10"/>
      <c r="G25" s="10"/>
      <c r="H25" s="12">
        <v>0</v>
      </c>
      <c r="I25" s="13">
        <v>0</v>
      </c>
      <c r="J25" s="11">
        <f>J24+H25-I25</f>
        <v>0</v>
      </c>
      <c r="K25" s="10"/>
    </row>
    <row r="26" spans="1:11" ht="18" customHeight="1" x14ac:dyDescent="0.25">
      <c r="A26" s="10">
        <v>22</v>
      </c>
      <c r="B26" s="10"/>
      <c r="C26" s="10"/>
      <c r="D26" s="10"/>
      <c r="E26" s="10"/>
      <c r="F26" s="10"/>
      <c r="G26" s="10"/>
      <c r="H26" s="12">
        <v>0</v>
      </c>
      <c r="I26" s="13">
        <v>0</v>
      </c>
      <c r="J26" s="11">
        <f>J25+H26-I26</f>
        <v>0</v>
      </c>
      <c r="K26" s="10"/>
    </row>
    <row r="27" spans="1:11" ht="18" customHeight="1" x14ac:dyDescent="0.25">
      <c r="A27" s="10">
        <v>23</v>
      </c>
      <c r="B27" s="10"/>
      <c r="C27" s="10"/>
      <c r="D27" s="10"/>
      <c r="E27" s="10"/>
      <c r="F27" s="10"/>
      <c r="G27" s="10"/>
      <c r="H27" s="12">
        <v>0</v>
      </c>
      <c r="I27" s="13">
        <v>0</v>
      </c>
      <c r="J27" s="11">
        <f>J26+H27-I27</f>
        <v>0</v>
      </c>
      <c r="K27" s="10"/>
    </row>
    <row r="28" spans="1:11" ht="18" customHeight="1" x14ac:dyDescent="0.25">
      <c r="A28" s="10">
        <v>24</v>
      </c>
      <c r="B28" s="10"/>
      <c r="C28" s="10"/>
      <c r="D28" s="10"/>
      <c r="E28" s="10"/>
      <c r="F28" s="10"/>
      <c r="G28" s="10"/>
      <c r="H28" s="12">
        <v>0</v>
      </c>
      <c r="I28" s="13">
        <v>0</v>
      </c>
      <c r="J28" s="11">
        <f>J27+H28-I28</f>
        <v>0</v>
      </c>
      <c r="K28" s="10"/>
    </row>
    <row r="29" spans="1:11" ht="18" customHeight="1" x14ac:dyDescent="0.25">
      <c r="A29" s="10">
        <v>25</v>
      </c>
      <c r="B29" s="10"/>
      <c r="C29" s="10"/>
      <c r="D29" s="10"/>
      <c r="E29" s="10"/>
      <c r="F29" s="10"/>
      <c r="G29" s="10"/>
      <c r="H29" s="12">
        <v>0</v>
      </c>
      <c r="I29" s="13">
        <v>0</v>
      </c>
      <c r="J29" s="11">
        <f>J28+H29-I29</f>
        <v>0</v>
      </c>
      <c r="K29" s="10"/>
    </row>
    <row r="30" spans="1:11" ht="18" customHeight="1" x14ac:dyDescent="0.25">
      <c r="A30" s="10">
        <v>26</v>
      </c>
      <c r="B30" s="10"/>
      <c r="C30" s="10"/>
      <c r="D30" s="10"/>
      <c r="E30" s="10"/>
      <c r="F30" s="10"/>
      <c r="G30" s="10"/>
      <c r="H30" s="12">
        <v>0</v>
      </c>
      <c r="I30" s="13">
        <v>0</v>
      </c>
      <c r="J30" s="11">
        <f>J29+H30-I30</f>
        <v>0</v>
      </c>
      <c r="K30" s="10"/>
    </row>
    <row r="31" spans="1:11" ht="18" customHeight="1" x14ac:dyDescent="0.25">
      <c r="A31" s="10">
        <v>27</v>
      </c>
      <c r="B31" s="10"/>
      <c r="C31" s="10"/>
      <c r="D31" s="10"/>
      <c r="E31" s="10"/>
      <c r="F31" s="10"/>
      <c r="G31" s="10"/>
      <c r="H31" s="12">
        <v>0</v>
      </c>
      <c r="I31" s="13">
        <v>0</v>
      </c>
      <c r="J31" s="11">
        <f>J30+H31-I31</f>
        <v>0</v>
      </c>
      <c r="K31" s="10"/>
    </row>
    <row r="32" spans="1:11" ht="18" customHeight="1" x14ac:dyDescent="0.25">
      <c r="A32" s="10">
        <v>28</v>
      </c>
      <c r="B32" s="10"/>
      <c r="C32" s="10"/>
      <c r="D32" s="10"/>
      <c r="E32" s="10"/>
      <c r="F32" s="10"/>
      <c r="G32" s="10"/>
      <c r="H32" s="12">
        <v>0</v>
      </c>
      <c r="I32" s="13">
        <v>0</v>
      </c>
      <c r="J32" s="11">
        <f>J31+H32-I32</f>
        <v>0</v>
      </c>
      <c r="K32" s="10"/>
    </row>
    <row r="33" spans="1:11" ht="18" customHeight="1" x14ac:dyDescent="0.25">
      <c r="A33" s="10">
        <v>29</v>
      </c>
      <c r="B33" s="10"/>
      <c r="C33" s="10"/>
      <c r="D33" s="10"/>
      <c r="E33" s="10"/>
      <c r="F33" s="10"/>
      <c r="G33" s="10"/>
      <c r="H33" s="12">
        <v>0</v>
      </c>
      <c r="I33" s="13">
        <v>0</v>
      </c>
      <c r="J33" s="11">
        <f>J32+H33-I33</f>
        <v>0</v>
      </c>
      <c r="K33" s="10"/>
    </row>
    <row r="34" spans="1:11" ht="18" customHeight="1" x14ac:dyDescent="0.25">
      <c r="A34" s="10">
        <v>30</v>
      </c>
      <c r="B34" s="10"/>
      <c r="C34" s="10"/>
      <c r="D34" s="10"/>
      <c r="E34" s="10"/>
      <c r="F34" s="10"/>
      <c r="G34" s="10"/>
      <c r="H34" s="12">
        <v>0</v>
      </c>
      <c r="I34" s="13">
        <v>0</v>
      </c>
      <c r="J34" s="11">
        <f>J33+H34-I34</f>
        <v>0</v>
      </c>
      <c r="K34" s="10"/>
    </row>
    <row r="35" spans="1:11" ht="18" customHeight="1" x14ac:dyDescent="0.25">
      <c r="A35" s="10">
        <v>31</v>
      </c>
      <c r="B35" s="10"/>
      <c r="C35" s="10"/>
      <c r="D35" s="10"/>
      <c r="E35" s="10"/>
      <c r="F35" s="10"/>
      <c r="G35" s="10"/>
      <c r="H35" s="12">
        <v>0</v>
      </c>
      <c r="I35" s="13">
        <v>0</v>
      </c>
      <c r="J35" s="11">
        <f>J34+H35-I35</f>
        <v>0</v>
      </c>
      <c r="K35" s="10"/>
    </row>
    <row r="36" spans="1:11" ht="18" customHeight="1" x14ac:dyDescent="0.25">
      <c r="A36" s="10">
        <v>32</v>
      </c>
      <c r="B36" s="10"/>
      <c r="C36" s="10"/>
      <c r="D36" s="10"/>
      <c r="E36" s="10"/>
      <c r="F36" s="10"/>
      <c r="G36" s="10"/>
      <c r="H36" s="12">
        <v>0</v>
      </c>
      <c r="I36" s="13">
        <v>0</v>
      </c>
      <c r="J36" s="11">
        <f>J35+H36-I36</f>
        <v>0</v>
      </c>
      <c r="K36" s="10"/>
    </row>
    <row r="37" spans="1:11" ht="18" customHeight="1" x14ac:dyDescent="0.25">
      <c r="A37" s="10">
        <v>33</v>
      </c>
      <c r="B37" s="10"/>
      <c r="C37" s="10"/>
      <c r="D37" s="10"/>
      <c r="E37" s="10"/>
      <c r="F37" s="10"/>
      <c r="G37" s="10"/>
      <c r="H37" s="12">
        <v>0</v>
      </c>
      <c r="I37" s="13">
        <v>0</v>
      </c>
      <c r="J37" s="11">
        <f>J36+H37-I37</f>
        <v>0</v>
      </c>
      <c r="K37" s="10"/>
    </row>
    <row r="38" spans="1:11" ht="18" customHeight="1" x14ac:dyDescent="0.25">
      <c r="A38" s="10">
        <v>34</v>
      </c>
      <c r="B38" s="10"/>
      <c r="C38" s="10"/>
      <c r="D38" s="10"/>
      <c r="E38" s="10"/>
      <c r="F38" s="10"/>
      <c r="G38" s="10"/>
      <c r="H38" s="12">
        <v>0</v>
      </c>
      <c r="I38" s="13">
        <v>0</v>
      </c>
      <c r="J38" s="11">
        <f>J37+H38-I38</f>
        <v>0</v>
      </c>
      <c r="K38" s="10"/>
    </row>
    <row r="39" spans="1:11" ht="18" customHeight="1" x14ac:dyDescent="0.25">
      <c r="A39" s="10">
        <v>35</v>
      </c>
      <c r="B39" s="10"/>
      <c r="C39" s="10"/>
      <c r="D39" s="10"/>
      <c r="E39" s="10"/>
      <c r="F39" s="10"/>
      <c r="G39" s="10"/>
      <c r="H39" s="12">
        <v>0</v>
      </c>
      <c r="I39" s="13">
        <v>0</v>
      </c>
      <c r="J39" s="11">
        <f>J38+H39-I39</f>
        <v>0</v>
      </c>
      <c r="K39" s="10"/>
    </row>
    <row r="40" spans="1:11" ht="18" customHeight="1" x14ac:dyDescent="0.25">
      <c r="A40" s="10">
        <v>36</v>
      </c>
      <c r="B40" s="10"/>
      <c r="C40" s="10"/>
      <c r="D40" s="10"/>
      <c r="E40" s="10"/>
      <c r="F40" s="10"/>
      <c r="G40" s="10"/>
      <c r="H40" s="12">
        <v>0</v>
      </c>
      <c r="I40" s="13">
        <v>0</v>
      </c>
      <c r="J40" s="11">
        <f>J39+H40-I40</f>
        <v>0</v>
      </c>
      <c r="K40" s="10"/>
    </row>
    <row r="41" spans="1:11" ht="18" customHeight="1" x14ac:dyDescent="0.25">
      <c r="A41" s="10">
        <v>37</v>
      </c>
      <c r="B41" s="10"/>
      <c r="C41" s="10"/>
      <c r="D41" s="10"/>
      <c r="E41" s="10"/>
      <c r="F41" s="10"/>
      <c r="G41" s="10"/>
      <c r="H41" s="12">
        <v>0</v>
      </c>
      <c r="I41" s="13">
        <v>0</v>
      </c>
      <c r="J41" s="11">
        <f>J40+H41-I41</f>
        <v>0</v>
      </c>
      <c r="K41" s="10"/>
    </row>
    <row r="42" spans="1:11" ht="18" customHeight="1" x14ac:dyDescent="0.25">
      <c r="A42" s="10">
        <v>38</v>
      </c>
      <c r="B42" s="10"/>
      <c r="C42" s="10"/>
      <c r="D42" s="10"/>
      <c r="E42" s="10"/>
      <c r="F42" s="10"/>
      <c r="G42" s="10"/>
      <c r="H42" s="12">
        <v>0</v>
      </c>
      <c r="I42" s="13">
        <v>0</v>
      </c>
      <c r="J42" s="11">
        <f>J41+H42-I42</f>
        <v>0</v>
      </c>
      <c r="K42" s="10"/>
    </row>
    <row r="43" spans="1:11" ht="18" customHeight="1" x14ac:dyDescent="0.25">
      <c r="A43" s="10">
        <v>39</v>
      </c>
      <c r="B43" s="10"/>
      <c r="C43" s="10"/>
      <c r="D43" s="10"/>
      <c r="E43" s="10"/>
      <c r="F43" s="10"/>
      <c r="G43" s="10"/>
      <c r="H43" s="12">
        <v>0</v>
      </c>
      <c r="I43" s="13">
        <v>0</v>
      </c>
      <c r="J43" s="11">
        <f>J42+H43-I43</f>
        <v>0</v>
      </c>
      <c r="K43" s="10"/>
    </row>
    <row r="44" spans="1:11" ht="18" customHeight="1" x14ac:dyDescent="0.25">
      <c r="A44" s="10">
        <v>40</v>
      </c>
      <c r="B44" s="10"/>
      <c r="C44" s="10"/>
      <c r="D44" s="10"/>
      <c r="E44" s="10"/>
      <c r="F44" s="10"/>
      <c r="G44" s="10"/>
      <c r="H44" s="12">
        <v>0</v>
      </c>
      <c r="I44" s="13">
        <v>0</v>
      </c>
      <c r="J44" s="11">
        <f>J43+H44-I44</f>
        <v>0</v>
      </c>
      <c r="K44" s="10"/>
    </row>
    <row r="45" spans="1:11" ht="18" customHeight="1" x14ac:dyDescent="0.25">
      <c r="A45" s="10">
        <v>41</v>
      </c>
      <c r="B45" s="10"/>
      <c r="C45" s="10"/>
      <c r="D45" s="10"/>
      <c r="E45" s="10"/>
      <c r="F45" s="10"/>
      <c r="G45" s="10"/>
      <c r="H45" s="12">
        <v>0</v>
      </c>
      <c r="I45" s="13">
        <v>0</v>
      </c>
      <c r="J45" s="11">
        <f>J44+H45-I45</f>
        <v>0</v>
      </c>
      <c r="K45" s="10"/>
    </row>
    <row r="46" spans="1:11" ht="18" customHeight="1" x14ac:dyDescent="0.25">
      <c r="A46" s="10">
        <v>42</v>
      </c>
      <c r="B46" s="10"/>
      <c r="C46" s="10"/>
      <c r="D46" s="10"/>
      <c r="E46" s="10"/>
      <c r="F46" s="10"/>
      <c r="G46" s="10"/>
      <c r="H46" s="12">
        <v>0</v>
      </c>
      <c r="I46" s="13">
        <v>0</v>
      </c>
      <c r="J46" s="11">
        <f>J45+H46-I46</f>
        <v>0</v>
      </c>
      <c r="K46" s="10"/>
    </row>
    <row r="47" spans="1:11" ht="18" customHeight="1" x14ac:dyDescent="0.25">
      <c r="A47" s="10">
        <v>43</v>
      </c>
      <c r="B47" s="10"/>
      <c r="C47" s="10"/>
      <c r="D47" s="10"/>
      <c r="E47" s="10"/>
      <c r="F47" s="10"/>
      <c r="G47" s="10"/>
      <c r="H47" s="12">
        <v>0</v>
      </c>
      <c r="I47" s="13">
        <v>0</v>
      </c>
      <c r="J47" s="11">
        <f>J46+H47-I47</f>
        <v>0</v>
      </c>
      <c r="K47" s="10"/>
    </row>
    <row r="48" spans="1:11" ht="18" customHeight="1" x14ac:dyDescent="0.25">
      <c r="A48" s="10">
        <v>44</v>
      </c>
      <c r="B48" s="10"/>
      <c r="C48" s="10"/>
      <c r="D48" s="10"/>
      <c r="E48" s="10"/>
      <c r="F48" s="10"/>
      <c r="G48" s="10"/>
      <c r="H48" s="12">
        <v>0</v>
      </c>
      <c r="I48" s="13">
        <v>0</v>
      </c>
      <c r="J48" s="11">
        <f>J47+H48-I48</f>
        <v>0</v>
      </c>
      <c r="K48" s="10"/>
    </row>
    <row r="49" spans="1:11" ht="18" customHeight="1" x14ac:dyDescent="0.25">
      <c r="A49" s="10">
        <v>45</v>
      </c>
      <c r="B49" s="10"/>
      <c r="C49" s="10"/>
      <c r="D49" s="10"/>
      <c r="E49" s="10"/>
      <c r="F49" s="10"/>
      <c r="G49" s="10"/>
      <c r="H49" s="12">
        <v>0</v>
      </c>
      <c r="I49" s="13">
        <v>0</v>
      </c>
      <c r="J49" s="11">
        <f>J48+H49-I49</f>
        <v>0</v>
      </c>
      <c r="K49" s="10"/>
    </row>
    <row r="50" spans="1:11" ht="18" customHeight="1" x14ac:dyDescent="0.25">
      <c r="A50" s="10">
        <v>46</v>
      </c>
      <c r="B50" s="10"/>
      <c r="C50" s="10"/>
      <c r="D50" s="10"/>
      <c r="E50" s="10"/>
      <c r="F50" s="10"/>
      <c r="G50" s="10"/>
      <c r="H50" s="12">
        <v>0</v>
      </c>
      <c r="I50" s="13">
        <v>0</v>
      </c>
      <c r="J50" s="11">
        <f>J49+H50-I50</f>
        <v>0</v>
      </c>
      <c r="K50" s="10"/>
    </row>
    <row r="51" spans="1:11" ht="18" customHeight="1" x14ac:dyDescent="0.25">
      <c r="A51" s="10">
        <v>47</v>
      </c>
      <c r="B51" s="10"/>
      <c r="C51" s="10"/>
      <c r="D51" s="10"/>
      <c r="E51" s="10"/>
      <c r="F51" s="10"/>
      <c r="G51" s="10"/>
      <c r="H51" s="12">
        <v>0</v>
      </c>
      <c r="I51" s="13">
        <v>0</v>
      </c>
      <c r="J51" s="11">
        <f>J50+H51-I51</f>
        <v>0</v>
      </c>
      <c r="K51" s="10"/>
    </row>
    <row r="52" spans="1:11" ht="18" customHeight="1" x14ac:dyDescent="0.25">
      <c r="A52" s="10">
        <v>48</v>
      </c>
      <c r="B52" s="10"/>
      <c r="C52" s="10"/>
      <c r="D52" s="10"/>
      <c r="E52" s="10"/>
      <c r="F52" s="10"/>
      <c r="G52" s="10"/>
      <c r="H52" s="12">
        <v>0</v>
      </c>
      <c r="I52" s="13">
        <v>0</v>
      </c>
      <c r="J52" s="11">
        <f>J51+H52-I52</f>
        <v>0</v>
      </c>
      <c r="K52" s="10"/>
    </row>
    <row r="53" spans="1:11" ht="18" customHeight="1" x14ac:dyDescent="0.25">
      <c r="A53" s="10">
        <v>49</v>
      </c>
      <c r="B53" s="10"/>
      <c r="C53" s="10"/>
      <c r="D53" s="10"/>
      <c r="E53" s="10"/>
      <c r="F53" s="10"/>
      <c r="G53" s="10"/>
      <c r="H53" s="12">
        <v>0</v>
      </c>
      <c r="I53" s="13">
        <v>0</v>
      </c>
      <c r="J53" s="11">
        <f>J52+H53-I53</f>
        <v>0</v>
      </c>
      <c r="K53" s="10"/>
    </row>
    <row r="54" spans="1:11" ht="18" customHeight="1" x14ac:dyDescent="0.25">
      <c r="A54" s="10">
        <v>50</v>
      </c>
      <c r="B54" s="10"/>
      <c r="C54" s="10"/>
      <c r="D54" s="10"/>
      <c r="E54" s="10"/>
      <c r="F54" s="10"/>
      <c r="G54" s="10"/>
      <c r="H54" s="12">
        <v>0</v>
      </c>
      <c r="I54" s="13">
        <v>0</v>
      </c>
      <c r="J54" s="11">
        <f>J53+H54-I54</f>
        <v>0</v>
      </c>
      <c r="K54" s="10"/>
    </row>
    <row r="55" spans="1:11" ht="24" customHeight="1" x14ac:dyDescent="0.25">
      <c r="A55" s="14"/>
      <c r="B55" s="14"/>
      <c r="C55" s="14"/>
      <c r="D55" s="14"/>
      <c r="E55" s="14" t="s">
        <v>24</v>
      </c>
      <c r="F55" s="14"/>
      <c r="G55" s="14"/>
      <c r="H55" s="15">
        <f>SUM(H5:H54)</f>
        <v>0</v>
      </c>
      <c r="I55" s="15">
        <f>SUM(I5:I54)</f>
        <v>0</v>
      </c>
      <c r="J55" s="15">
        <f>H55-I55</f>
        <v>0</v>
      </c>
      <c r="K55" s="14"/>
    </row>
  </sheetData>
  <mergeCells count="5">
    <mergeCell ref="A1:K1"/>
    <mergeCell ref="A2:B2"/>
    <mergeCell ref="C2:E2"/>
    <mergeCell ref="F2:G2"/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32"/>
  <sheetViews>
    <sheetView workbookViewId="0"/>
  </sheetViews>
  <sheetFormatPr defaultRowHeight="15" x14ac:dyDescent="0.25"/>
  <cols>
    <col min="2" max="2" width="30.7109375" customWidth="1"/>
    <col min="3" max="4" width="14.7109375" customWidth="1"/>
    <col min="5" max="5" width="22.7109375" customWidth="1"/>
    <col min="6" max="8" width="18.7109375" customWidth="1"/>
    <col min="9" max="9" width="13.7109375" customWidth="1"/>
    <col min="10" max="10" width="14.7109375" customWidth="1"/>
    <col min="11" max="11" width="25.7109375" customWidth="1"/>
  </cols>
  <sheetData>
    <row r="1" spans="1:11" ht="30" customHeight="1" x14ac:dyDescent="0.25">
      <c r="A1" s="2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 x14ac:dyDescent="0.25">
      <c r="A2" s="7" t="s">
        <v>12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22</v>
      </c>
    </row>
    <row r="3" spans="1:11" ht="20.100000000000001" customHeight="1" x14ac:dyDescent="0.25">
      <c r="A3" s="10">
        <v>1</v>
      </c>
      <c r="B3" s="10"/>
      <c r="C3" s="10"/>
      <c r="D3" s="10"/>
      <c r="E3" s="10"/>
      <c r="F3" s="11">
        <v>0</v>
      </c>
      <c r="G3" s="11">
        <v>0</v>
      </c>
      <c r="H3" s="11">
        <f>F3-G3</f>
        <v>0</v>
      </c>
      <c r="I3" s="16">
        <f>IF(F3&gt;0,G3/F3*100,0)</f>
        <v>0</v>
      </c>
      <c r="J3" s="10" t="s">
        <v>35</v>
      </c>
      <c r="K3" s="10"/>
    </row>
    <row r="4" spans="1:11" ht="20.100000000000001" customHeight="1" x14ac:dyDescent="0.25">
      <c r="A4" s="10">
        <v>2</v>
      </c>
      <c r="B4" s="10"/>
      <c r="C4" s="10"/>
      <c r="D4" s="10"/>
      <c r="E4" s="10"/>
      <c r="F4" s="11">
        <v>0</v>
      </c>
      <c r="G4" s="11">
        <v>0</v>
      </c>
      <c r="H4" s="11">
        <f>F4-G4</f>
        <v>0</v>
      </c>
      <c r="I4" s="16">
        <f>IF(F4&gt;0,G4/F4*100,0)</f>
        <v>0</v>
      </c>
      <c r="J4" s="10" t="s">
        <v>35</v>
      </c>
      <c r="K4" s="10"/>
    </row>
    <row r="5" spans="1:11" ht="20.100000000000001" customHeight="1" x14ac:dyDescent="0.25">
      <c r="A5" s="10">
        <v>3</v>
      </c>
      <c r="B5" s="10"/>
      <c r="C5" s="10"/>
      <c r="D5" s="10"/>
      <c r="E5" s="10"/>
      <c r="F5" s="11">
        <v>0</v>
      </c>
      <c r="G5" s="11">
        <v>0</v>
      </c>
      <c r="H5" s="11">
        <f>F5-G5</f>
        <v>0</v>
      </c>
      <c r="I5" s="16">
        <f>IF(F5&gt;0,G5/F5*100,0)</f>
        <v>0</v>
      </c>
      <c r="J5" s="10" t="s">
        <v>35</v>
      </c>
      <c r="K5" s="10"/>
    </row>
    <row r="6" spans="1:11" ht="20.100000000000001" customHeight="1" x14ac:dyDescent="0.25">
      <c r="A6" s="10">
        <v>4</v>
      </c>
      <c r="B6" s="10"/>
      <c r="C6" s="10"/>
      <c r="D6" s="10"/>
      <c r="E6" s="10"/>
      <c r="F6" s="11">
        <v>0</v>
      </c>
      <c r="G6" s="11">
        <v>0</v>
      </c>
      <c r="H6" s="11">
        <f>F6-G6</f>
        <v>0</v>
      </c>
      <c r="I6" s="16">
        <f>IF(F6&gt;0,G6/F6*100,0)</f>
        <v>0</v>
      </c>
      <c r="J6" s="10" t="s">
        <v>35</v>
      </c>
      <c r="K6" s="10"/>
    </row>
    <row r="7" spans="1:11" ht="20.100000000000001" customHeight="1" x14ac:dyDescent="0.25">
      <c r="A7" s="10">
        <v>5</v>
      </c>
      <c r="B7" s="10"/>
      <c r="C7" s="10"/>
      <c r="D7" s="10"/>
      <c r="E7" s="10"/>
      <c r="F7" s="11">
        <v>0</v>
      </c>
      <c r="G7" s="11">
        <v>0</v>
      </c>
      <c r="H7" s="11">
        <f>F7-G7</f>
        <v>0</v>
      </c>
      <c r="I7" s="16">
        <f>IF(F7&gt;0,G7/F7*100,0)</f>
        <v>0</v>
      </c>
      <c r="J7" s="10" t="s">
        <v>35</v>
      </c>
      <c r="K7" s="10"/>
    </row>
    <row r="8" spans="1:11" ht="20.100000000000001" customHeight="1" x14ac:dyDescent="0.25">
      <c r="A8" s="10">
        <v>6</v>
      </c>
      <c r="B8" s="10"/>
      <c r="C8" s="10"/>
      <c r="D8" s="10"/>
      <c r="E8" s="10"/>
      <c r="F8" s="11">
        <v>0</v>
      </c>
      <c r="G8" s="11">
        <v>0</v>
      </c>
      <c r="H8" s="11">
        <f>F8-G8</f>
        <v>0</v>
      </c>
      <c r="I8" s="16">
        <f>IF(F8&gt;0,G8/F8*100,0)</f>
        <v>0</v>
      </c>
      <c r="J8" s="10" t="s">
        <v>35</v>
      </c>
      <c r="K8" s="10"/>
    </row>
    <row r="9" spans="1:11" ht="20.100000000000001" customHeight="1" x14ac:dyDescent="0.25">
      <c r="A9" s="10">
        <v>7</v>
      </c>
      <c r="B9" s="10"/>
      <c r="C9" s="10"/>
      <c r="D9" s="10"/>
      <c r="E9" s="10"/>
      <c r="F9" s="11">
        <v>0</v>
      </c>
      <c r="G9" s="11">
        <v>0</v>
      </c>
      <c r="H9" s="11">
        <f>F9-G9</f>
        <v>0</v>
      </c>
      <c r="I9" s="16">
        <f>IF(F9&gt;0,G9/F9*100,0)</f>
        <v>0</v>
      </c>
      <c r="J9" s="10" t="s">
        <v>35</v>
      </c>
      <c r="K9" s="10"/>
    </row>
    <row r="10" spans="1:11" ht="20.100000000000001" customHeight="1" x14ac:dyDescent="0.25">
      <c r="A10" s="10">
        <v>8</v>
      </c>
      <c r="B10" s="10"/>
      <c r="C10" s="10"/>
      <c r="D10" s="10"/>
      <c r="E10" s="10"/>
      <c r="F10" s="11">
        <v>0</v>
      </c>
      <c r="G10" s="11">
        <v>0</v>
      </c>
      <c r="H10" s="11">
        <f>F10-G10</f>
        <v>0</v>
      </c>
      <c r="I10" s="16">
        <f>IF(F10&gt;0,G10/F10*100,0)</f>
        <v>0</v>
      </c>
      <c r="J10" s="10" t="s">
        <v>35</v>
      </c>
      <c r="K10" s="10"/>
    </row>
    <row r="11" spans="1:11" ht="20.100000000000001" customHeight="1" x14ac:dyDescent="0.25">
      <c r="A11" s="10">
        <v>9</v>
      </c>
      <c r="B11" s="10"/>
      <c r="C11" s="10"/>
      <c r="D11" s="10"/>
      <c r="E11" s="10"/>
      <c r="F11" s="11">
        <v>0</v>
      </c>
      <c r="G11" s="11">
        <v>0</v>
      </c>
      <c r="H11" s="11">
        <f>F11-G11</f>
        <v>0</v>
      </c>
      <c r="I11" s="16">
        <f>IF(F11&gt;0,G11/F11*100,0)</f>
        <v>0</v>
      </c>
      <c r="J11" s="10" t="s">
        <v>35</v>
      </c>
      <c r="K11" s="10"/>
    </row>
    <row r="12" spans="1:11" ht="20.100000000000001" customHeight="1" x14ac:dyDescent="0.25">
      <c r="A12" s="10">
        <v>10</v>
      </c>
      <c r="B12" s="10"/>
      <c r="C12" s="10"/>
      <c r="D12" s="10"/>
      <c r="E12" s="10"/>
      <c r="F12" s="11">
        <v>0</v>
      </c>
      <c r="G12" s="11">
        <v>0</v>
      </c>
      <c r="H12" s="11">
        <f>F12-G12</f>
        <v>0</v>
      </c>
      <c r="I12" s="16">
        <f>IF(F12&gt;0,G12/F12*100,0)</f>
        <v>0</v>
      </c>
      <c r="J12" s="10" t="s">
        <v>35</v>
      </c>
      <c r="K12" s="10"/>
    </row>
    <row r="13" spans="1:11" ht="20.100000000000001" customHeight="1" x14ac:dyDescent="0.25">
      <c r="A13" s="10">
        <v>11</v>
      </c>
      <c r="B13" s="10"/>
      <c r="C13" s="10"/>
      <c r="D13" s="10"/>
      <c r="E13" s="10"/>
      <c r="F13" s="11">
        <v>0</v>
      </c>
      <c r="G13" s="11">
        <v>0</v>
      </c>
      <c r="H13" s="11">
        <f>F13-G13</f>
        <v>0</v>
      </c>
      <c r="I13" s="16">
        <f>IF(F13&gt;0,G13/F13*100,0)</f>
        <v>0</v>
      </c>
      <c r="J13" s="10" t="s">
        <v>35</v>
      </c>
      <c r="K13" s="10"/>
    </row>
    <row r="14" spans="1:11" ht="20.100000000000001" customHeight="1" x14ac:dyDescent="0.25">
      <c r="A14" s="10">
        <v>12</v>
      </c>
      <c r="B14" s="10"/>
      <c r="C14" s="10"/>
      <c r="D14" s="10"/>
      <c r="E14" s="10"/>
      <c r="F14" s="11">
        <v>0</v>
      </c>
      <c r="G14" s="11">
        <v>0</v>
      </c>
      <c r="H14" s="11">
        <f>F14-G14</f>
        <v>0</v>
      </c>
      <c r="I14" s="16">
        <f>IF(F14&gt;0,G14/F14*100,0)</f>
        <v>0</v>
      </c>
      <c r="J14" s="10" t="s">
        <v>35</v>
      </c>
      <c r="K14" s="10"/>
    </row>
    <row r="15" spans="1:11" ht="20.100000000000001" customHeight="1" x14ac:dyDescent="0.25">
      <c r="A15" s="10">
        <v>13</v>
      </c>
      <c r="B15" s="10"/>
      <c r="C15" s="10"/>
      <c r="D15" s="10"/>
      <c r="E15" s="10"/>
      <c r="F15" s="11">
        <v>0</v>
      </c>
      <c r="G15" s="11">
        <v>0</v>
      </c>
      <c r="H15" s="11">
        <f>F15-G15</f>
        <v>0</v>
      </c>
      <c r="I15" s="16">
        <f>IF(F15&gt;0,G15/F15*100,0)</f>
        <v>0</v>
      </c>
      <c r="J15" s="10" t="s">
        <v>35</v>
      </c>
      <c r="K15" s="10"/>
    </row>
    <row r="16" spans="1:11" ht="20.100000000000001" customHeight="1" x14ac:dyDescent="0.25">
      <c r="A16" s="10">
        <v>14</v>
      </c>
      <c r="B16" s="10"/>
      <c r="C16" s="10"/>
      <c r="D16" s="10"/>
      <c r="E16" s="10"/>
      <c r="F16" s="11">
        <v>0</v>
      </c>
      <c r="G16" s="11">
        <v>0</v>
      </c>
      <c r="H16" s="11">
        <f>F16-G16</f>
        <v>0</v>
      </c>
      <c r="I16" s="16">
        <f>IF(F16&gt;0,G16/F16*100,0)</f>
        <v>0</v>
      </c>
      <c r="J16" s="10" t="s">
        <v>35</v>
      </c>
      <c r="K16" s="10"/>
    </row>
    <row r="17" spans="1:11" ht="20.100000000000001" customHeight="1" x14ac:dyDescent="0.25">
      <c r="A17" s="10">
        <v>15</v>
      </c>
      <c r="B17" s="10"/>
      <c r="C17" s="10"/>
      <c r="D17" s="10"/>
      <c r="E17" s="10"/>
      <c r="F17" s="11">
        <v>0</v>
      </c>
      <c r="G17" s="11">
        <v>0</v>
      </c>
      <c r="H17" s="11">
        <f>F17-G17</f>
        <v>0</v>
      </c>
      <c r="I17" s="16">
        <f>IF(F17&gt;0,G17/F17*100,0)</f>
        <v>0</v>
      </c>
      <c r="J17" s="10" t="s">
        <v>35</v>
      </c>
      <c r="K17" s="10"/>
    </row>
    <row r="18" spans="1:11" ht="20.100000000000001" customHeight="1" x14ac:dyDescent="0.25">
      <c r="A18" s="10">
        <v>16</v>
      </c>
      <c r="B18" s="10"/>
      <c r="C18" s="10"/>
      <c r="D18" s="10"/>
      <c r="E18" s="10"/>
      <c r="F18" s="11">
        <v>0</v>
      </c>
      <c r="G18" s="11">
        <v>0</v>
      </c>
      <c r="H18" s="11">
        <f>F18-G18</f>
        <v>0</v>
      </c>
      <c r="I18" s="16">
        <f>IF(F18&gt;0,G18/F18*100,0)</f>
        <v>0</v>
      </c>
      <c r="J18" s="10" t="s">
        <v>35</v>
      </c>
      <c r="K18" s="10"/>
    </row>
    <row r="19" spans="1:11" ht="20.100000000000001" customHeight="1" x14ac:dyDescent="0.25">
      <c r="A19" s="10">
        <v>17</v>
      </c>
      <c r="B19" s="10"/>
      <c r="C19" s="10"/>
      <c r="D19" s="10"/>
      <c r="E19" s="10"/>
      <c r="F19" s="11">
        <v>0</v>
      </c>
      <c r="G19" s="11">
        <v>0</v>
      </c>
      <c r="H19" s="11">
        <f>F19-G19</f>
        <v>0</v>
      </c>
      <c r="I19" s="16">
        <f>IF(F19&gt;0,G19/F19*100,0)</f>
        <v>0</v>
      </c>
      <c r="J19" s="10" t="s">
        <v>35</v>
      </c>
      <c r="K19" s="10"/>
    </row>
    <row r="20" spans="1:11" ht="20.100000000000001" customHeight="1" x14ac:dyDescent="0.25">
      <c r="A20" s="10">
        <v>18</v>
      </c>
      <c r="B20" s="10"/>
      <c r="C20" s="10"/>
      <c r="D20" s="10"/>
      <c r="E20" s="10"/>
      <c r="F20" s="11">
        <v>0</v>
      </c>
      <c r="G20" s="11">
        <v>0</v>
      </c>
      <c r="H20" s="11">
        <f>F20-G20</f>
        <v>0</v>
      </c>
      <c r="I20" s="16">
        <f>IF(F20&gt;0,G20/F20*100,0)</f>
        <v>0</v>
      </c>
      <c r="J20" s="10" t="s">
        <v>35</v>
      </c>
      <c r="K20" s="10"/>
    </row>
    <row r="21" spans="1:11" ht="20.100000000000001" customHeight="1" x14ac:dyDescent="0.25">
      <c r="A21" s="10">
        <v>19</v>
      </c>
      <c r="B21" s="10"/>
      <c r="C21" s="10"/>
      <c r="D21" s="10"/>
      <c r="E21" s="10"/>
      <c r="F21" s="11">
        <v>0</v>
      </c>
      <c r="G21" s="11">
        <v>0</v>
      </c>
      <c r="H21" s="11">
        <f>F21-G21</f>
        <v>0</v>
      </c>
      <c r="I21" s="16">
        <f>IF(F21&gt;0,G21/F21*100,0)</f>
        <v>0</v>
      </c>
      <c r="J21" s="10" t="s">
        <v>35</v>
      </c>
      <c r="K21" s="10"/>
    </row>
    <row r="22" spans="1:11" ht="20.100000000000001" customHeight="1" x14ac:dyDescent="0.25">
      <c r="A22" s="10">
        <v>20</v>
      </c>
      <c r="B22" s="10"/>
      <c r="C22" s="10"/>
      <c r="D22" s="10"/>
      <c r="E22" s="10"/>
      <c r="F22" s="11">
        <v>0</v>
      </c>
      <c r="G22" s="11">
        <v>0</v>
      </c>
      <c r="H22" s="11">
        <f>F22-G22</f>
        <v>0</v>
      </c>
      <c r="I22" s="16">
        <f>IF(F22&gt;0,G22/F22*100,0)</f>
        <v>0</v>
      </c>
      <c r="J22" s="10" t="s">
        <v>35</v>
      </c>
      <c r="K22" s="10"/>
    </row>
    <row r="23" spans="1:11" ht="20.100000000000001" customHeight="1" x14ac:dyDescent="0.25">
      <c r="A23" s="10">
        <v>21</v>
      </c>
      <c r="B23" s="10"/>
      <c r="C23" s="10"/>
      <c r="D23" s="10"/>
      <c r="E23" s="10"/>
      <c r="F23" s="11">
        <v>0</v>
      </c>
      <c r="G23" s="11">
        <v>0</v>
      </c>
      <c r="H23" s="11">
        <f>F23-G23</f>
        <v>0</v>
      </c>
      <c r="I23" s="16">
        <f>IF(F23&gt;0,G23/F23*100,0)</f>
        <v>0</v>
      </c>
      <c r="J23" s="10" t="s">
        <v>35</v>
      </c>
      <c r="K23" s="10"/>
    </row>
    <row r="24" spans="1:11" ht="20.100000000000001" customHeight="1" x14ac:dyDescent="0.25">
      <c r="A24" s="10">
        <v>22</v>
      </c>
      <c r="B24" s="10"/>
      <c r="C24" s="10"/>
      <c r="D24" s="10"/>
      <c r="E24" s="10"/>
      <c r="F24" s="11">
        <v>0</v>
      </c>
      <c r="G24" s="11">
        <v>0</v>
      </c>
      <c r="H24" s="11">
        <f>F24-G24</f>
        <v>0</v>
      </c>
      <c r="I24" s="16">
        <f>IF(F24&gt;0,G24/F24*100,0)</f>
        <v>0</v>
      </c>
      <c r="J24" s="10" t="s">
        <v>35</v>
      </c>
      <c r="K24" s="10"/>
    </row>
    <row r="25" spans="1:11" ht="20.100000000000001" customHeight="1" x14ac:dyDescent="0.25">
      <c r="A25" s="10">
        <v>23</v>
      </c>
      <c r="B25" s="10"/>
      <c r="C25" s="10"/>
      <c r="D25" s="10"/>
      <c r="E25" s="10"/>
      <c r="F25" s="11">
        <v>0</v>
      </c>
      <c r="G25" s="11">
        <v>0</v>
      </c>
      <c r="H25" s="11">
        <f>F25-G25</f>
        <v>0</v>
      </c>
      <c r="I25" s="16">
        <f>IF(F25&gt;0,G25/F25*100,0)</f>
        <v>0</v>
      </c>
      <c r="J25" s="10" t="s">
        <v>35</v>
      </c>
      <c r="K25" s="10"/>
    </row>
    <row r="26" spans="1:11" ht="20.100000000000001" customHeight="1" x14ac:dyDescent="0.25">
      <c r="A26" s="10">
        <v>24</v>
      </c>
      <c r="B26" s="10"/>
      <c r="C26" s="10"/>
      <c r="D26" s="10"/>
      <c r="E26" s="10"/>
      <c r="F26" s="11">
        <v>0</v>
      </c>
      <c r="G26" s="11">
        <v>0</v>
      </c>
      <c r="H26" s="11">
        <f>F26-G26</f>
        <v>0</v>
      </c>
      <c r="I26" s="16">
        <f>IF(F26&gt;0,G26/F26*100,0)</f>
        <v>0</v>
      </c>
      <c r="J26" s="10" t="s">
        <v>35</v>
      </c>
      <c r="K26" s="10"/>
    </row>
    <row r="27" spans="1:11" ht="20.100000000000001" customHeight="1" x14ac:dyDescent="0.25">
      <c r="A27" s="10">
        <v>25</v>
      </c>
      <c r="B27" s="10"/>
      <c r="C27" s="10"/>
      <c r="D27" s="10"/>
      <c r="E27" s="10"/>
      <c r="F27" s="11">
        <v>0</v>
      </c>
      <c r="G27" s="11">
        <v>0</v>
      </c>
      <c r="H27" s="11">
        <f>F27-G27</f>
        <v>0</v>
      </c>
      <c r="I27" s="16">
        <f>IF(F27&gt;0,G27/F27*100,0)</f>
        <v>0</v>
      </c>
      <c r="J27" s="10" t="s">
        <v>35</v>
      </c>
      <c r="K27" s="10"/>
    </row>
    <row r="28" spans="1:11" ht="20.100000000000001" customHeight="1" x14ac:dyDescent="0.25">
      <c r="A28" s="10">
        <v>26</v>
      </c>
      <c r="B28" s="10"/>
      <c r="C28" s="10"/>
      <c r="D28" s="10"/>
      <c r="E28" s="10"/>
      <c r="F28" s="11">
        <v>0</v>
      </c>
      <c r="G28" s="11">
        <v>0</v>
      </c>
      <c r="H28" s="11">
        <f>F28-G28</f>
        <v>0</v>
      </c>
      <c r="I28" s="16">
        <f>IF(F28&gt;0,G28/F28*100,0)</f>
        <v>0</v>
      </c>
      <c r="J28" s="10" t="s">
        <v>35</v>
      </c>
      <c r="K28" s="10"/>
    </row>
    <row r="29" spans="1:11" ht="20.100000000000001" customHeight="1" x14ac:dyDescent="0.25">
      <c r="A29" s="10">
        <v>27</v>
      </c>
      <c r="B29" s="10"/>
      <c r="C29" s="10"/>
      <c r="D29" s="10"/>
      <c r="E29" s="10"/>
      <c r="F29" s="11">
        <v>0</v>
      </c>
      <c r="G29" s="11">
        <v>0</v>
      </c>
      <c r="H29" s="11">
        <f>F29-G29</f>
        <v>0</v>
      </c>
      <c r="I29" s="16">
        <f>IF(F29&gt;0,G29/F29*100,0)</f>
        <v>0</v>
      </c>
      <c r="J29" s="10" t="s">
        <v>35</v>
      </c>
      <c r="K29" s="10"/>
    </row>
    <row r="30" spans="1:11" ht="20.100000000000001" customHeight="1" x14ac:dyDescent="0.25">
      <c r="A30" s="10">
        <v>28</v>
      </c>
      <c r="B30" s="10"/>
      <c r="C30" s="10"/>
      <c r="D30" s="10"/>
      <c r="E30" s="10"/>
      <c r="F30" s="11">
        <v>0</v>
      </c>
      <c r="G30" s="11">
        <v>0</v>
      </c>
      <c r="H30" s="11">
        <f>F30-G30</f>
        <v>0</v>
      </c>
      <c r="I30" s="16">
        <f>IF(F30&gt;0,G30/F30*100,0)</f>
        <v>0</v>
      </c>
      <c r="J30" s="10" t="s">
        <v>35</v>
      </c>
      <c r="K30" s="10"/>
    </row>
    <row r="31" spans="1:11" ht="20.100000000000001" customHeight="1" x14ac:dyDescent="0.25">
      <c r="A31" s="10">
        <v>29</v>
      </c>
      <c r="B31" s="10"/>
      <c r="C31" s="10"/>
      <c r="D31" s="10"/>
      <c r="E31" s="10"/>
      <c r="F31" s="11">
        <v>0</v>
      </c>
      <c r="G31" s="11">
        <v>0</v>
      </c>
      <c r="H31" s="11">
        <f>F31-G31</f>
        <v>0</v>
      </c>
      <c r="I31" s="16">
        <f>IF(F31&gt;0,G31/F31*100,0)</f>
        <v>0</v>
      </c>
      <c r="J31" s="10" t="s">
        <v>35</v>
      </c>
      <c r="K31" s="10"/>
    </row>
    <row r="32" spans="1:11" ht="20.100000000000001" customHeight="1" x14ac:dyDescent="0.25">
      <c r="A32" s="10">
        <v>30</v>
      </c>
      <c r="B32" s="10"/>
      <c r="C32" s="10"/>
      <c r="D32" s="10"/>
      <c r="E32" s="10"/>
      <c r="F32" s="11">
        <v>0</v>
      </c>
      <c r="G32" s="11">
        <v>0</v>
      </c>
      <c r="H32" s="11">
        <f>F32-G32</f>
        <v>0</v>
      </c>
      <c r="I32" s="16">
        <f>IF(F32&gt;0,G32/F32*100,0)</f>
        <v>0</v>
      </c>
      <c r="J32" s="10" t="s">
        <v>35</v>
      </c>
      <c r="K32" s="10"/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H53"/>
  <sheetViews>
    <sheetView workbookViewId="0"/>
  </sheetViews>
  <sheetFormatPr defaultRowHeight="15" x14ac:dyDescent="0.25"/>
  <cols>
    <col min="2" max="2" width="35.7109375" customWidth="1"/>
    <col min="3" max="3" width="28.7109375" customWidth="1"/>
    <col min="4" max="5" width="12.7109375" customWidth="1"/>
    <col min="6" max="6" width="18.7109375" customWidth="1"/>
    <col min="7" max="7" width="20.7109375" customWidth="1"/>
    <col min="8" max="8" width="25.7109375" customWidth="1"/>
  </cols>
  <sheetData>
    <row r="1" spans="1:8" ht="30" customHeight="1" x14ac:dyDescent="0.25">
      <c r="A1" s="2" t="s">
        <v>36</v>
      </c>
      <c r="B1" s="1"/>
      <c r="C1" s="1"/>
      <c r="D1" s="1"/>
      <c r="E1" s="1"/>
      <c r="F1" s="1"/>
      <c r="G1" s="1"/>
      <c r="H1" s="1"/>
    </row>
    <row r="2" spans="1:8" ht="27.95" customHeight="1" x14ac:dyDescent="0.25">
      <c r="A2" s="7" t="s">
        <v>12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22</v>
      </c>
    </row>
    <row r="3" spans="1:8" ht="20.100000000000001" customHeight="1" x14ac:dyDescent="0.25">
      <c r="A3" s="10">
        <v>1</v>
      </c>
      <c r="B3" s="10"/>
      <c r="C3" s="10"/>
      <c r="D3" s="10">
        <v>1</v>
      </c>
      <c r="E3" s="10"/>
      <c r="F3" s="11">
        <v>0</v>
      </c>
      <c r="G3" s="11">
        <f>D3*F3</f>
        <v>0</v>
      </c>
      <c r="H3" s="10"/>
    </row>
    <row r="4" spans="1:8" ht="20.100000000000001" customHeight="1" x14ac:dyDescent="0.25">
      <c r="A4" s="10">
        <v>2</v>
      </c>
      <c r="B4" s="10"/>
      <c r="C4" s="10"/>
      <c r="D4" s="10">
        <v>1</v>
      </c>
      <c r="E4" s="10"/>
      <c r="F4" s="11">
        <v>0</v>
      </c>
      <c r="G4" s="11">
        <f>D4*F4</f>
        <v>0</v>
      </c>
      <c r="H4" s="10"/>
    </row>
    <row r="5" spans="1:8" ht="20.100000000000001" customHeight="1" x14ac:dyDescent="0.25">
      <c r="A5" s="10">
        <v>3</v>
      </c>
      <c r="B5" s="10"/>
      <c r="C5" s="10"/>
      <c r="D5" s="10">
        <v>1</v>
      </c>
      <c r="E5" s="10"/>
      <c r="F5" s="11">
        <v>0</v>
      </c>
      <c r="G5" s="11">
        <f>D5*F5</f>
        <v>0</v>
      </c>
      <c r="H5" s="10"/>
    </row>
    <row r="6" spans="1:8" ht="20.100000000000001" customHeight="1" x14ac:dyDescent="0.25">
      <c r="A6" s="10">
        <v>4</v>
      </c>
      <c r="B6" s="10"/>
      <c r="C6" s="10"/>
      <c r="D6" s="10">
        <v>1</v>
      </c>
      <c r="E6" s="10"/>
      <c r="F6" s="11">
        <v>0</v>
      </c>
      <c r="G6" s="11">
        <f>D6*F6</f>
        <v>0</v>
      </c>
      <c r="H6" s="10"/>
    </row>
    <row r="7" spans="1:8" ht="20.100000000000001" customHeight="1" x14ac:dyDescent="0.25">
      <c r="A7" s="10">
        <v>5</v>
      </c>
      <c r="B7" s="10"/>
      <c r="C7" s="10"/>
      <c r="D7" s="10">
        <v>1</v>
      </c>
      <c r="E7" s="10"/>
      <c r="F7" s="11">
        <v>0</v>
      </c>
      <c r="G7" s="11">
        <f>D7*F7</f>
        <v>0</v>
      </c>
      <c r="H7" s="10"/>
    </row>
    <row r="8" spans="1:8" ht="20.100000000000001" customHeight="1" x14ac:dyDescent="0.25">
      <c r="A8" s="10">
        <v>6</v>
      </c>
      <c r="B8" s="10"/>
      <c r="C8" s="10"/>
      <c r="D8" s="10">
        <v>1</v>
      </c>
      <c r="E8" s="10"/>
      <c r="F8" s="11">
        <v>0</v>
      </c>
      <c r="G8" s="11">
        <f>D8*F8</f>
        <v>0</v>
      </c>
      <c r="H8" s="10"/>
    </row>
    <row r="9" spans="1:8" ht="20.100000000000001" customHeight="1" x14ac:dyDescent="0.25">
      <c r="A9" s="10">
        <v>7</v>
      </c>
      <c r="B9" s="10"/>
      <c r="C9" s="10"/>
      <c r="D9" s="10">
        <v>1</v>
      </c>
      <c r="E9" s="10"/>
      <c r="F9" s="11">
        <v>0</v>
      </c>
      <c r="G9" s="11">
        <f>D9*F9</f>
        <v>0</v>
      </c>
      <c r="H9" s="10"/>
    </row>
    <row r="10" spans="1:8" ht="20.100000000000001" customHeight="1" x14ac:dyDescent="0.25">
      <c r="A10" s="10">
        <v>8</v>
      </c>
      <c r="B10" s="10"/>
      <c r="C10" s="10"/>
      <c r="D10" s="10">
        <v>1</v>
      </c>
      <c r="E10" s="10"/>
      <c r="F10" s="11">
        <v>0</v>
      </c>
      <c r="G10" s="11">
        <f>D10*F10</f>
        <v>0</v>
      </c>
      <c r="H10" s="10"/>
    </row>
    <row r="11" spans="1:8" ht="20.100000000000001" customHeight="1" x14ac:dyDescent="0.25">
      <c r="A11" s="10">
        <v>9</v>
      </c>
      <c r="B11" s="10"/>
      <c r="C11" s="10"/>
      <c r="D11" s="10">
        <v>1</v>
      </c>
      <c r="E11" s="10"/>
      <c r="F11" s="11">
        <v>0</v>
      </c>
      <c r="G11" s="11">
        <f>D11*F11</f>
        <v>0</v>
      </c>
      <c r="H11" s="10"/>
    </row>
    <row r="12" spans="1:8" ht="20.100000000000001" customHeight="1" x14ac:dyDescent="0.25">
      <c r="A12" s="10">
        <v>10</v>
      </c>
      <c r="B12" s="10"/>
      <c r="C12" s="10"/>
      <c r="D12" s="10">
        <v>1</v>
      </c>
      <c r="E12" s="10"/>
      <c r="F12" s="11">
        <v>0</v>
      </c>
      <c r="G12" s="11">
        <f>D12*F12</f>
        <v>0</v>
      </c>
      <c r="H12" s="10"/>
    </row>
    <row r="13" spans="1:8" ht="20.100000000000001" customHeight="1" x14ac:dyDescent="0.25">
      <c r="A13" s="10">
        <v>11</v>
      </c>
      <c r="B13" s="10"/>
      <c r="C13" s="10"/>
      <c r="D13" s="10">
        <v>1</v>
      </c>
      <c r="E13" s="10"/>
      <c r="F13" s="11">
        <v>0</v>
      </c>
      <c r="G13" s="11">
        <f>D13*F13</f>
        <v>0</v>
      </c>
      <c r="H13" s="10"/>
    </row>
    <row r="14" spans="1:8" ht="20.100000000000001" customHeight="1" x14ac:dyDescent="0.25">
      <c r="A14" s="10">
        <v>12</v>
      </c>
      <c r="B14" s="10"/>
      <c r="C14" s="10"/>
      <c r="D14" s="10">
        <v>1</v>
      </c>
      <c r="E14" s="10"/>
      <c r="F14" s="11">
        <v>0</v>
      </c>
      <c r="G14" s="11">
        <f>D14*F14</f>
        <v>0</v>
      </c>
      <c r="H14" s="10"/>
    </row>
    <row r="15" spans="1:8" ht="20.100000000000001" customHeight="1" x14ac:dyDescent="0.25">
      <c r="A15" s="10">
        <v>13</v>
      </c>
      <c r="B15" s="10"/>
      <c r="C15" s="10"/>
      <c r="D15" s="10">
        <v>1</v>
      </c>
      <c r="E15" s="10"/>
      <c r="F15" s="11">
        <v>0</v>
      </c>
      <c r="G15" s="11">
        <f>D15*F15</f>
        <v>0</v>
      </c>
      <c r="H15" s="10"/>
    </row>
    <row r="16" spans="1:8" ht="20.100000000000001" customHeight="1" x14ac:dyDescent="0.25">
      <c r="A16" s="10">
        <v>14</v>
      </c>
      <c r="B16" s="10"/>
      <c r="C16" s="10"/>
      <c r="D16" s="10">
        <v>1</v>
      </c>
      <c r="E16" s="10"/>
      <c r="F16" s="11">
        <v>0</v>
      </c>
      <c r="G16" s="11">
        <f>D16*F16</f>
        <v>0</v>
      </c>
      <c r="H16" s="10"/>
    </row>
    <row r="17" spans="1:8" ht="20.100000000000001" customHeight="1" x14ac:dyDescent="0.25">
      <c r="A17" s="10">
        <v>15</v>
      </c>
      <c r="B17" s="10"/>
      <c r="C17" s="10"/>
      <c r="D17" s="10">
        <v>1</v>
      </c>
      <c r="E17" s="10"/>
      <c r="F17" s="11">
        <v>0</v>
      </c>
      <c r="G17" s="11">
        <f>D17*F17</f>
        <v>0</v>
      </c>
      <c r="H17" s="10"/>
    </row>
    <row r="18" spans="1:8" ht="20.100000000000001" customHeight="1" x14ac:dyDescent="0.25">
      <c r="A18" s="10">
        <v>16</v>
      </c>
      <c r="B18" s="10"/>
      <c r="C18" s="10"/>
      <c r="D18" s="10">
        <v>1</v>
      </c>
      <c r="E18" s="10"/>
      <c r="F18" s="11">
        <v>0</v>
      </c>
      <c r="G18" s="11">
        <f>D18*F18</f>
        <v>0</v>
      </c>
      <c r="H18" s="10"/>
    </row>
    <row r="19" spans="1:8" ht="20.100000000000001" customHeight="1" x14ac:dyDescent="0.25">
      <c r="A19" s="10">
        <v>17</v>
      </c>
      <c r="B19" s="10"/>
      <c r="C19" s="10"/>
      <c r="D19" s="10">
        <v>1</v>
      </c>
      <c r="E19" s="10"/>
      <c r="F19" s="11">
        <v>0</v>
      </c>
      <c r="G19" s="11">
        <f>D19*F19</f>
        <v>0</v>
      </c>
      <c r="H19" s="10"/>
    </row>
    <row r="20" spans="1:8" ht="20.100000000000001" customHeight="1" x14ac:dyDescent="0.25">
      <c r="A20" s="10">
        <v>18</v>
      </c>
      <c r="B20" s="10"/>
      <c r="C20" s="10"/>
      <c r="D20" s="10">
        <v>1</v>
      </c>
      <c r="E20" s="10"/>
      <c r="F20" s="11">
        <v>0</v>
      </c>
      <c r="G20" s="11">
        <f>D20*F20</f>
        <v>0</v>
      </c>
      <c r="H20" s="10"/>
    </row>
    <row r="21" spans="1:8" ht="20.100000000000001" customHeight="1" x14ac:dyDescent="0.25">
      <c r="A21" s="10">
        <v>19</v>
      </c>
      <c r="B21" s="10"/>
      <c r="C21" s="10"/>
      <c r="D21" s="10">
        <v>1</v>
      </c>
      <c r="E21" s="10"/>
      <c r="F21" s="11">
        <v>0</v>
      </c>
      <c r="G21" s="11">
        <f>D21*F21</f>
        <v>0</v>
      </c>
      <c r="H21" s="10"/>
    </row>
    <row r="22" spans="1:8" ht="20.100000000000001" customHeight="1" x14ac:dyDescent="0.25">
      <c r="A22" s="10">
        <v>20</v>
      </c>
      <c r="B22" s="10"/>
      <c r="C22" s="10"/>
      <c r="D22" s="10">
        <v>1</v>
      </c>
      <c r="E22" s="10"/>
      <c r="F22" s="11">
        <v>0</v>
      </c>
      <c r="G22" s="11">
        <f>D22*F22</f>
        <v>0</v>
      </c>
      <c r="H22" s="10"/>
    </row>
    <row r="23" spans="1:8" ht="20.100000000000001" customHeight="1" x14ac:dyDescent="0.25">
      <c r="A23" s="10">
        <v>21</v>
      </c>
      <c r="B23" s="10"/>
      <c r="C23" s="10"/>
      <c r="D23" s="10">
        <v>1</v>
      </c>
      <c r="E23" s="10"/>
      <c r="F23" s="11">
        <v>0</v>
      </c>
      <c r="G23" s="11">
        <f>D23*F23</f>
        <v>0</v>
      </c>
      <c r="H23" s="10"/>
    </row>
    <row r="24" spans="1:8" ht="20.100000000000001" customHeight="1" x14ac:dyDescent="0.25">
      <c r="A24" s="10">
        <v>22</v>
      </c>
      <c r="B24" s="10"/>
      <c r="C24" s="10"/>
      <c r="D24" s="10">
        <v>1</v>
      </c>
      <c r="E24" s="10"/>
      <c r="F24" s="11">
        <v>0</v>
      </c>
      <c r="G24" s="11">
        <f>D24*F24</f>
        <v>0</v>
      </c>
      <c r="H24" s="10"/>
    </row>
    <row r="25" spans="1:8" ht="20.100000000000001" customHeight="1" x14ac:dyDescent="0.25">
      <c r="A25" s="10">
        <v>23</v>
      </c>
      <c r="B25" s="10"/>
      <c r="C25" s="10"/>
      <c r="D25" s="10">
        <v>1</v>
      </c>
      <c r="E25" s="10"/>
      <c r="F25" s="11">
        <v>0</v>
      </c>
      <c r="G25" s="11">
        <f>D25*F25</f>
        <v>0</v>
      </c>
      <c r="H25" s="10"/>
    </row>
    <row r="26" spans="1:8" ht="20.100000000000001" customHeight="1" x14ac:dyDescent="0.25">
      <c r="A26" s="10">
        <v>24</v>
      </c>
      <c r="B26" s="10"/>
      <c r="C26" s="10"/>
      <c r="D26" s="10">
        <v>1</v>
      </c>
      <c r="E26" s="10"/>
      <c r="F26" s="11">
        <v>0</v>
      </c>
      <c r="G26" s="11">
        <f>D26*F26</f>
        <v>0</v>
      </c>
      <c r="H26" s="10"/>
    </row>
    <row r="27" spans="1:8" ht="20.100000000000001" customHeight="1" x14ac:dyDescent="0.25">
      <c r="A27" s="10">
        <v>25</v>
      </c>
      <c r="B27" s="10"/>
      <c r="C27" s="10"/>
      <c r="D27" s="10">
        <v>1</v>
      </c>
      <c r="E27" s="10"/>
      <c r="F27" s="11">
        <v>0</v>
      </c>
      <c r="G27" s="11">
        <f>D27*F27</f>
        <v>0</v>
      </c>
      <c r="H27" s="10"/>
    </row>
    <row r="28" spans="1:8" ht="20.100000000000001" customHeight="1" x14ac:dyDescent="0.25">
      <c r="A28" s="10">
        <v>26</v>
      </c>
      <c r="B28" s="10"/>
      <c r="C28" s="10"/>
      <c r="D28" s="10">
        <v>1</v>
      </c>
      <c r="E28" s="10"/>
      <c r="F28" s="11">
        <v>0</v>
      </c>
      <c r="G28" s="11">
        <f>D28*F28</f>
        <v>0</v>
      </c>
      <c r="H28" s="10"/>
    </row>
    <row r="29" spans="1:8" ht="20.100000000000001" customHeight="1" x14ac:dyDescent="0.25">
      <c r="A29" s="10">
        <v>27</v>
      </c>
      <c r="B29" s="10"/>
      <c r="C29" s="10"/>
      <c r="D29" s="10">
        <v>1</v>
      </c>
      <c r="E29" s="10"/>
      <c r="F29" s="11">
        <v>0</v>
      </c>
      <c r="G29" s="11">
        <f>D29*F29</f>
        <v>0</v>
      </c>
      <c r="H29" s="10"/>
    </row>
    <row r="30" spans="1:8" ht="20.100000000000001" customHeight="1" x14ac:dyDescent="0.25">
      <c r="A30" s="10">
        <v>28</v>
      </c>
      <c r="B30" s="10"/>
      <c r="C30" s="10"/>
      <c r="D30" s="10">
        <v>1</v>
      </c>
      <c r="E30" s="10"/>
      <c r="F30" s="11">
        <v>0</v>
      </c>
      <c r="G30" s="11">
        <f>D30*F30</f>
        <v>0</v>
      </c>
      <c r="H30" s="10"/>
    </row>
    <row r="31" spans="1:8" ht="20.100000000000001" customHeight="1" x14ac:dyDescent="0.25">
      <c r="A31" s="10">
        <v>29</v>
      </c>
      <c r="B31" s="10"/>
      <c r="C31" s="10"/>
      <c r="D31" s="10">
        <v>1</v>
      </c>
      <c r="E31" s="10"/>
      <c r="F31" s="11">
        <v>0</v>
      </c>
      <c r="G31" s="11">
        <f>D31*F31</f>
        <v>0</v>
      </c>
      <c r="H31" s="10"/>
    </row>
    <row r="32" spans="1:8" ht="20.100000000000001" customHeight="1" x14ac:dyDescent="0.25">
      <c r="A32" s="10">
        <v>30</v>
      </c>
      <c r="B32" s="10"/>
      <c r="C32" s="10"/>
      <c r="D32" s="10">
        <v>1</v>
      </c>
      <c r="E32" s="10"/>
      <c r="F32" s="11">
        <v>0</v>
      </c>
      <c r="G32" s="11">
        <f>D32*F32</f>
        <v>0</v>
      </c>
      <c r="H32" s="10"/>
    </row>
    <row r="33" spans="1:8" ht="20.100000000000001" customHeight="1" x14ac:dyDescent="0.25">
      <c r="A33" s="10">
        <v>31</v>
      </c>
      <c r="B33" s="10"/>
      <c r="C33" s="10"/>
      <c r="D33" s="10">
        <v>1</v>
      </c>
      <c r="E33" s="10"/>
      <c r="F33" s="11">
        <v>0</v>
      </c>
      <c r="G33" s="11">
        <f>D33*F33</f>
        <v>0</v>
      </c>
      <c r="H33" s="10"/>
    </row>
    <row r="34" spans="1:8" ht="20.100000000000001" customHeight="1" x14ac:dyDescent="0.25">
      <c r="A34" s="10">
        <v>32</v>
      </c>
      <c r="B34" s="10"/>
      <c r="C34" s="10"/>
      <c r="D34" s="10">
        <v>1</v>
      </c>
      <c r="E34" s="10"/>
      <c r="F34" s="11">
        <v>0</v>
      </c>
      <c r="G34" s="11">
        <f>D34*F34</f>
        <v>0</v>
      </c>
      <c r="H34" s="10"/>
    </row>
    <row r="35" spans="1:8" ht="20.100000000000001" customHeight="1" x14ac:dyDescent="0.25">
      <c r="A35" s="10">
        <v>33</v>
      </c>
      <c r="B35" s="10"/>
      <c r="C35" s="10"/>
      <c r="D35" s="10">
        <v>1</v>
      </c>
      <c r="E35" s="10"/>
      <c r="F35" s="11">
        <v>0</v>
      </c>
      <c r="G35" s="11">
        <f>D35*F35</f>
        <v>0</v>
      </c>
      <c r="H35" s="10"/>
    </row>
    <row r="36" spans="1:8" ht="20.100000000000001" customHeight="1" x14ac:dyDescent="0.25">
      <c r="A36" s="10">
        <v>34</v>
      </c>
      <c r="B36" s="10"/>
      <c r="C36" s="10"/>
      <c r="D36" s="10">
        <v>1</v>
      </c>
      <c r="E36" s="10"/>
      <c r="F36" s="11">
        <v>0</v>
      </c>
      <c r="G36" s="11">
        <f>D36*F36</f>
        <v>0</v>
      </c>
      <c r="H36" s="10"/>
    </row>
    <row r="37" spans="1:8" ht="20.100000000000001" customHeight="1" x14ac:dyDescent="0.25">
      <c r="A37" s="10">
        <v>35</v>
      </c>
      <c r="B37" s="10"/>
      <c r="C37" s="10"/>
      <c r="D37" s="10">
        <v>1</v>
      </c>
      <c r="E37" s="10"/>
      <c r="F37" s="11">
        <v>0</v>
      </c>
      <c r="G37" s="11">
        <f>D37*F37</f>
        <v>0</v>
      </c>
      <c r="H37" s="10"/>
    </row>
    <row r="38" spans="1:8" ht="20.100000000000001" customHeight="1" x14ac:dyDescent="0.25">
      <c r="A38" s="10">
        <v>36</v>
      </c>
      <c r="B38" s="10"/>
      <c r="C38" s="10"/>
      <c r="D38" s="10">
        <v>1</v>
      </c>
      <c r="E38" s="10"/>
      <c r="F38" s="11">
        <v>0</v>
      </c>
      <c r="G38" s="11">
        <f>D38*F38</f>
        <v>0</v>
      </c>
      <c r="H38" s="10"/>
    </row>
    <row r="39" spans="1:8" ht="20.100000000000001" customHeight="1" x14ac:dyDescent="0.25">
      <c r="A39" s="10">
        <v>37</v>
      </c>
      <c r="B39" s="10"/>
      <c r="C39" s="10"/>
      <c r="D39" s="10">
        <v>1</v>
      </c>
      <c r="E39" s="10"/>
      <c r="F39" s="11">
        <v>0</v>
      </c>
      <c r="G39" s="11">
        <f>D39*F39</f>
        <v>0</v>
      </c>
      <c r="H39" s="10"/>
    </row>
    <row r="40" spans="1:8" ht="20.100000000000001" customHeight="1" x14ac:dyDescent="0.25">
      <c r="A40" s="10">
        <v>38</v>
      </c>
      <c r="B40" s="10"/>
      <c r="C40" s="10"/>
      <c r="D40" s="10">
        <v>1</v>
      </c>
      <c r="E40" s="10"/>
      <c r="F40" s="11">
        <v>0</v>
      </c>
      <c r="G40" s="11">
        <f>D40*F40</f>
        <v>0</v>
      </c>
      <c r="H40" s="10"/>
    </row>
    <row r="41" spans="1:8" ht="20.100000000000001" customHeight="1" x14ac:dyDescent="0.25">
      <c r="A41" s="10">
        <v>39</v>
      </c>
      <c r="B41" s="10"/>
      <c r="C41" s="10"/>
      <c r="D41" s="10">
        <v>1</v>
      </c>
      <c r="E41" s="10"/>
      <c r="F41" s="11">
        <v>0</v>
      </c>
      <c r="G41" s="11">
        <f>D41*F41</f>
        <v>0</v>
      </c>
      <c r="H41" s="10"/>
    </row>
    <row r="42" spans="1:8" ht="20.100000000000001" customHeight="1" x14ac:dyDescent="0.25">
      <c r="A42" s="10">
        <v>40</v>
      </c>
      <c r="B42" s="10"/>
      <c r="C42" s="10"/>
      <c r="D42" s="10">
        <v>1</v>
      </c>
      <c r="E42" s="10"/>
      <c r="F42" s="11">
        <v>0</v>
      </c>
      <c r="G42" s="11">
        <f>D42*F42</f>
        <v>0</v>
      </c>
      <c r="H42" s="10"/>
    </row>
    <row r="43" spans="1:8" ht="20.100000000000001" customHeight="1" x14ac:dyDescent="0.25">
      <c r="A43" s="10">
        <v>41</v>
      </c>
      <c r="B43" s="10"/>
      <c r="C43" s="10"/>
      <c r="D43" s="10">
        <v>1</v>
      </c>
      <c r="E43" s="10"/>
      <c r="F43" s="11">
        <v>0</v>
      </c>
      <c r="G43" s="11">
        <f>D43*F43</f>
        <v>0</v>
      </c>
      <c r="H43" s="10"/>
    </row>
    <row r="44" spans="1:8" ht="20.100000000000001" customHeight="1" x14ac:dyDescent="0.25">
      <c r="A44" s="10">
        <v>42</v>
      </c>
      <c r="B44" s="10"/>
      <c r="C44" s="10"/>
      <c r="D44" s="10">
        <v>1</v>
      </c>
      <c r="E44" s="10"/>
      <c r="F44" s="11">
        <v>0</v>
      </c>
      <c r="G44" s="11">
        <f>D44*F44</f>
        <v>0</v>
      </c>
      <c r="H44" s="10"/>
    </row>
    <row r="45" spans="1:8" ht="20.100000000000001" customHeight="1" x14ac:dyDescent="0.25">
      <c r="A45" s="10">
        <v>43</v>
      </c>
      <c r="B45" s="10"/>
      <c r="C45" s="10"/>
      <c r="D45" s="10">
        <v>1</v>
      </c>
      <c r="E45" s="10"/>
      <c r="F45" s="11">
        <v>0</v>
      </c>
      <c r="G45" s="11">
        <f>D45*F45</f>
        <v>0</v>
      </c>
      <c r="H45" s="10"/>
    </row>
    <row r="46" spans="1:8" ht="20.100000000000001" customHeight="1" x14ac:dyDescent="0.25">
      <c r="A46" s="10">
        <v>44</v>
      </c>
      <c r="B46" s="10"/>
      <c r="C46" s="10"/>
      <c r="D46" s="10">
        <v>1</v>
      </c>
      <c r="E46" s="10"/>
      <c r="F46" s="11">
        <v>0</v>
      </c>
      <c r="G46" s="11">
        <f>D46*F46</f>
        <v>0</v>
      </c>
      <c r="H46" s="10"/>
    </row>
    <row r="47" spans="1:8" ht="20.100000000000001" customHeight="1" x14ac:dyDescent="0.25">
      <c r="A47" s="10">
        <v>45</v>
      </c>
      <c r="B47" s="10"/>
      <c r="C47" s="10"/>
      <c r="D47" s="10">
        <v>1</v>
      </c>
      <c r="E47" s="10"/>
      <c r="F47" s="11">
        <v>0</v>
      </c>
      <c r="G47" s="11">
        <f>D47*F47</f>
        <v>0</v>
      </c>
      <c r="H47" s="10"/>
    </row>
    <row r="48" spans="1:8" ht="20.100000000000001" customHeight="1" x14ac:dyDescent="0.25">
      <c r="A48" s="10">
        <v>46</v>
      </c>
      <c r="B48" s="10"/>
      <c r="C48" s="10"/>
      <c r="D48" s="10">
        <v>1</v>
      </c>
      <c r="E48" s="10"/>
      <c r="F48" s="11">
        <v>0</v>
      </c>
      <c r="G48" s="11">
        <f>D48*F48</f>
        <v>0</v>
      </c>
      <c r="H48" s="10"/>
    </row>
    <row r="49" spans="1:8" ht="20.100000000000001" customHeight="1" x14ac:dyDescent="0.25">
      <c r="A49" s="10">
        <v>47</v>
      </c>
      <c r="B49" s="10"/>
      <c r="C49" s="10"/>
      <c r="D49" s="10">
        <v>1</v>
      </c>
      <c r="E49" s="10"/>
      <c r="F49" s="11">
        <v>0</v>
      </c>
      <c r="G49" s="11">
        <f>D49*F49</f>
        <v>0</v>
      </c>
      <c r="H49" s="10"/>
    </row>
    <row r="50" spans="1:8" ht="20.100000000000001" customHeight="1" x14ac:dyDescent="0.25">
      <c r="A50" s="10">
        <v>48</v>
      </c>
      <c r="B50" s="10"/>
      <c r="C50" s="10"/>
      <c r="D50" s="10">
        <v>1</v>
      </c>
      <c r="E50" s="10"/>
      <c r="F50" s="11">
        <v>0</v>
      </c>
      <c r="G50" s="11">
        <f>D50*F50</f>
        <v>0</v>
      </c>
      <c r="H50" s="10"/>
    </row>
    <row r="51" spans="1:8" ht="20.100000000000001" customHeight="1" x14ac:dyDescent="0.25">
      <c r="A51" s="10">
        <v>49</v>
      </c>
      <c r="B51" s="10"/>
      <c r="C51" s="10"/>
      <c r="D51" s="10">
        <v>1</v>
      </c>
      <c r="E51" s="10"/>
      <c r="F51" s="11">
        <v>0</v>
      </c>
      <c r="G51" s="11">
        <f>D51*F51</f>
        <v>0</v>
      </c>
      <c r="H51" s="10"/>
    </row>
    <row r="52" spans="1:8" ht="20.100000000000001" customHeight="1" x14ac:dyDescent="0.25">
      <c r="A52" s="10">
        <v>50</v>
      </c>
      <c r="B52" s="10"/>
      <c r="C52" s="10"/>
      <c r="D52" s="10">
        <v>1</v>
      </c>
      <c r="E52" s="10"/>
      <c r="F52" s="11">
        <v>0</v>
      </c>
      <c r="G52" s="11">
        <f>D52*F52</f>
        <v>0</v>
      </c>
      <c r="H52" s="10"/>
    </row>
    <row r="53" spans="1:8" ht="24" customHeight="1" x14ac:dyDescent="0.25">
      <c r="A53" s="17"/>
      <c r="B53" s="17"/>
      <c r="C53" s="17"/>
      <c r="D53" s="17"/>
      <c r="E53" s="17"/>
      <c r="F53" s="17" t="s">
        <v>43</v>
      </c>
      <c r="G53" s="18">
        <f>SUM(G3:G52)</f>
        <v>0</v>
      </c>
      <c r="H53" s="17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G15"/>
  <sheetViews>
    <sheetView workbookViewId="0"/>
  </sheetViews>
  <sheetFormatPr defaultRowHeight="15" x14ac:dyDescent="0.25"/>
  <cols>
    <col min="2" max="2" width="18.7109375" customWidth="1"/>
    <col min="3" max="5" width="22.7109375" customWidth="1"/>
    <col min="6" max="6" width="16.7109375" customWidth="1"/>
    <col min="7" max="7" width="25.7109375" customWidth="1"/>
  </cols>
  <sheetData>
    <row r="1" spans="1:7" ht="30" customHeight="1" x14ac:dyDescent="0.25">
      <c r="A1" s="2" t="s">
        <v>44</v>
      </c>
      <c r="B1" s="1"/>
      <c r="C1" s="1"/>
      <c r="D1" s="1"/>
      <c r="E1" s="1"/>
      <c r="F1" s="1"/>
      <c r="G1" s="1"/>
    </row>
    <row r="2" spans="1:7" ht="27.95" customHeight="1" x14ac:dyDescent="0.25">
      <c r="A2" s="7" t="s">
        <v>12</v>
      </c>
      <c r="B2" s="7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7" t="s">
        <v>22</v>
      </c>
    </row>
    <row r="3" spans="1:7" ht="20.100000000000001" customHeight="1" x14ac:dyDescent="0.25">
      <c r="A3" s="10">
        <v>1</v>
      </c>
      <c r="B3" s="10" t="s">
        <v>50</v>
      </c>
      <c r="C3" s="11">
        <v>0</v>
      </c>
      <c r="D3" s="11">
        <v>0</v>
      </c>
      <c r="E3" s="11">
        <f>C3-D3</f>
        <v>0</v>
      </c>
      <c r="F3" s="16"/>
      <c r="G3" s="10"/>
    </row>
    <row r="4" spans="1:7" ht="20.100000000000001" customHeight="1" x14ac:dyDescent="0.25">
      <c r="A4" s="10">
        <v>2</v>
      </c>
      <c r="B4" s="10" t="s">
        <v>51</v>
      </c>
      <c r="C4" s="11">
        <v>0</v>
      </c>
      <c r="D4" s="11">
        <v>0</v>
      </c>
      <c r="E4" s="11">
        <f>C4-D4</f>
        <v>0</v>
      </c>
      <c r="F4" s="16"/>
      <c r="G4" s="10"/>
    </row>
    <row r="5" spans="1:7" ht="20.100000000000001" customHeight="1" x14ac:dyDescent="0.25">
      <c r="A5" s="10">
        <v>3</v>
      </c>
      <c r="B5" s="10" t="s">
        <v>52</v>
      </c>
      <c r="C5" s="11">
        <v>0</v>
      </c>
      <c r="D5" s="11">
        <v>0</v>
      </c>
      <c r="E5" s="11">
        <f>C5-D5</f>
        <v>0</v>
      </c>
      <c r="F5" s="16"/>
      <c r="G5" s="10"/>
    </row>
    <row r="6" spans="1:7" ht="20.100000000000001" customHeight="1" x14ac:dyDescent="0.25">
      <c r="A6" s="10">
        <v>4</v>
      </c>
      <c r="B6" s="10" t="s">
        <v>53</v>
      </c>
      <c r="C6" s="11">
        <v>0</v>
      </c>
      <c r="D6" s="11">
        <v>0</v>
      </c>
      <c r="E6" s="11">
        <f>C6-D6</f>
        <v>0</v>
      </c>
      <c r="F6" s="16"/>
      <c r="G6" s="10"/>
    </row>
    <row r="7" spans="1:7" ht="20.100000000000001" customHeight="1" x14ac:dyDescent="0.25">
      <c r="A7" s="10">
        <v>5</v>
      </c>
      <c r="B7" s="10" t="s">
        <v>54</v>
      </c>
      <c r="C7" s="11">
        <v>0</v>
      </c>
      <c r="D7" s="11">
        <v>0</v>
      </c>
      <c r="E7" s="11">
        <f>C7-D7</f>
        <v>0</v>
      </c>
      <c r="F7" s="16"/>
      <c r="G7" s="10"/>
    </row>
    <row r="8" spans="1:7" ht="20.100000000000001" customHeight="1" x14ac:dyDescent="0.25">
      <c r="A8" s="10">
        <v>6</v>
      </c>
      <c r="B8" s="10" t="s">
        <v>55</v>
      </c>
      <c r="C8" s="11">
        <v>0</v>
      </c>
      <c r="D8" s="11">
        <v>0</v>
      </c>
      <c r="E8" s="11">
        <f>C8-D8</f>
        <v>0</v>
      </c>
      <c r="F8" s="16"/>
      <c r="G8" s="10"/>
    </row>
    <row r="9" spans="1:7" ht="20.100000000000001" customHeight="1" x14ac:dyDescent="0.25">
      <c r="A9" s="10">
        <v>7</v>
      </c>
      <c r="B9" s="10" t="s">
        <v>56</v>
      </c>
      <c r="C9" s="11">
        <v>0</v>
      </c>
      <c r="D9" s="11">
        <v>0</v>
      </c>
      <c r="E9" s="11">
        <f>C9-D9</f>
        <v>0</v>
      </c>
      <c r="F9" s="16"/>
      <c r="G9" s="10"/>
    </row>
    <row r="10" spans="1:7" ht="20.100000000000001" customHeight="1" x14ac:dyDescent="0.25">
      <c r="A10" s="10">
        <v>8</v>
      </c>
      <c r="B10" s="10" t="s">
        <v>57</v>
      </c>
      <c r="C10" s="11">
        <v>0</v>
      </c>
      <c r="D10" s="11">
        <v>0</v>
      </c>
      <c r="E10" s="11">
        <f>C10-D10</f>
        <v>0</v>
      </c>
      <c r="F10" s="16"/>
      <c r="G10" s="10"/>
    </row>
    <row r="11" spans="1:7" ht="20.100000000000001" customHeight="1" x14ac:dyDescent="0.25">
      <c r="A11" s="10">
        <v>9</v>
      </c>
      <c r="B11" s="10" t="s">
        <v>58</v>
      </c>
      <c r="C11" s="11">
        <v>0</v>
      </c>
      <c r="D11" s="11">
        <v>0</v>
      </c>
      <c r="E11" s="11">
        <f>C11-D11</f>
        <v>0</v>
      </c>
      <c r="F11" s="16"/>
      <c r="G11" s="10"/>
    </row>
    <row r="12" spans="1:7" ht="20.100000000000001" customHeight="1" x14ac:dyDescent="0.25">
      <c r="A12" s="10">
        <v>10</v>
      </c>
      <c r="B12" s="10" t="s">
        <v>59</v>
      </c>
      <c r="C12" s="11">
        <v>0</v>
      </c>
      <c r="D12" s="11">
        <v>0</v>
      </c>
      <c r="E12" s="11">
        <f>C12-D12</f>
        <v>0</v>
      </c>
      <c r="F12" s="16"/>
      <c r="G12" s="10"/>
    </row>
    <row r="13" spans="1:7" ht="20.100000000000001" customHeight="1" x14ac:dyDescent="0.25">
      <c r="A13" s="10">
        <v>11</v>
      </c>
      <c r="B13" s="10" t="s">
        <v>60</v>
      </c>
      <c r="C13" s="11">
        <v>0</v>
      </c>
      <c r="D13" s="11">
        <v>0</v>
      </c>
      <c r="E13" s="11">
        <f>C13-D13</f>
        <v>0</v>
      </c>
      <c r="F13" s="16"/>
      <c r="G13" s="10"/>
    </row>
    <row r="14" spans="1:7" ht="20.100000000000001" customHeight="1" x14ac:dyDescent="0.25">
      <c r="A14" s="10">
        <v>12</v>
      </c>
      <c r="B14" s="10" t="s">
        <v>61</v>
      </c>
      <c r="C14" s="11">
        <v>0</v>
      </c>
      <c r="D14" s="11">
        <v>0</v>
      </c>
      <c r="E14" s="11">
        <f>C14-D14</f>
        <v>0</v>
      </c>
      <c r="F14" s="16"/>
      <c r="G14" s="10"/>
    </row>
    <row r="15" spans="1:7" ht="24" customHeight="1" x14ac:dyDescent="0.25">
      <c r="A15" s="17"/>
      <c r="B15" s="17" t="s">
        <v>62</v>
      </c>
      <c r="C15" s="18">
        <f>SUM(C3:C14)</f>
        <v>0</v>
      </c>
      <c r="D15" s="18">
        <f>SUM(D3:D14)</f>
        <v>0</v>
      </c>
      <c r="E15" s="18">
        <f>C15-D15</f>
        <v>0</v>
      </c>
      <c r="F15" s="17"/>
      <c r="G15" s="17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B1:F23"/>
  <sheetViews>
    <sheetView workbookViewId="0"/>
  </sheetViews>
  <sheetFormatPr defaultRowHeight="15" x14ac:dyDescent="0.25"/>
  <cols>
    <col min="1" max="1" width="3.7109375" customWidth="1"/>
    <col min="2" max="2" width="24.7109375" customWidth="1"/>
    <col min="3" max="6" width="22.7109375" customWidth="1"/>
  </cols>
  <sheetData>
    <row r="1" spans="2:6" ht="15" customHeight="1" x14ac:dyDescent="0.25"/>
    <row r="2" spans="2:6" ht="39.950000000000003" customHeight="1" x14ac:dyDescent="0.25">
      <c r="B2" s="19" t="s">
        <v>63</v>
      </c>
      <c r="C2" s="2"/>
      <c r="D2" s="2"/>
      <c r="E2" s="2"/>
      <c r="F2" s="2"/>
    </row>
    <row r="3" spans="2:6" ht="21.95" customHeight="1" x14ac:dyDescent="0.25">
      <c r="B3" s="20" t="str">
        <f>CONCATENATE("Organisasi: ",Cover!C4,"  |  Periode: ",Cover!C8)</f>
        <v xml:space="preserve">Organisasi:   |  Periode: </v>
      </c>
      <c r="C3" s="21"/>
      <c r="D3" s="21"/>
      <c r="E3" s="21"/>
      <c r="F3" s="21"/>
    </row>
    <row r="4" spans="2:6" ht="15" customHeight="1" x14ac:dyDescent="0.25"/>
    <row r="5" spans="2:6" ht="24" customHeight="1" x14ac:dyDescent="0.25">
      <c r="B5" s="22" t="s">
        <v>64</v>
      </c>
      <c r="C5" s="24" t="s">
        <v>65</v>
      </c>
      <c r="D5" s="26" t="s">
        <v>66</v>
      </c>
      <c r="E5" s="28" t="s">
        <v>43</v>
      </c>
      <c r="F5" s="30" t="s">
        <v>67</v>
      </c>
    </row>
    <row r="6" spans="2:6" ht="39.950000000000003" customHeight="1" x14ac:dyDescent="0.25">
      <c r="B6" s="23">
        <f>'Laporan Bulanan'!C15</f>
        <v>0</v>
      </c>
      <c r="C6" s="25">
        <f>'Laporan Bulanan'!D15</f>
        <v>0</v>
      </c>
      <c r="D6" s="27">
        <f>'Laporan Bulanan'!E15</f>
        <v>0</v>
      </c>
      <c r="E6" s="29">
        <f>RAB!G53</f>
        <v>0</v>
      </c>
      <c r="F6" s="31">
        <f>COUNTA(Kegiatan!B3:B32)</f>
        <v>0</v>
      </c>
    </row>
    <row r="7" spans="2:6" ht="15" customHeight="1" x14ac:dyDescent="0.25"/>
    <row r="8" spans="2:6" ht="30" customHeight="1" x14ac:dyDescent="0.25">
      <c r="B8" s="32" t="s">
        <v>68</v>
      </c>
      <c r="C8" s="33"/>
      <c r="D8" s="33"/>
      <c r="E8" s="33"/>
      <c r="F8" s="33"/>
    </row>
    <row r="9" spans="2:6" ht="9.9499999999999993" customHeight="1" x14ac:dyDescent="0.25"/>
    <row r="10" spans="2:6" ht="26.1" customHeight="1" x14ac:dyDescent="0.25">
      <c r="B10" s="34" t="s">
        <v>69</v>
      </c>
      <c r="C10" s="34"/>
      <c r="D10" s="34"/>
      <c r="E10" s="34"/>
      <c r="F10" s="34"/>
    </row>
    <row r="11" spans="2:6" ht="24" customHeight="1" x14ac:dyDescent="0.25">
      <c r="B11" s="7" t="s">
        <v>45</v>
      </c>
      <c r="C11" s="7" t="s">
        <v>70</v>
      </c>
      <c r="D11" s="7" t="s">
        <v>71</v>
      </c>
      <c r="E11" s="7" t="s">
        <v>72</v>
      </c>
      <c r="F11" s="7" t="s">
        <v>34</v>
      </c>
    </row>
    <row r="12" spans="2:6" ht="20.100000000000001" customHeight="1" x14ac:dyDescent="0.25">
      <c r="B12" s="35" t="s">
        <v>50</v>
      </c>
      <c r="C12" s="11">
        <f>'Laporan Bulanan'!C3</f>
        <v>0</v>
      </c>
      <c r="D12" s="11">
        <f>'Laporan Bulanan'!D3</f>
        <v>0</v>
      </c>
      <c r="E12" s="11">
        <f>C12-D12</f>
        <v>0</v>
      </c>
      <c r="F12" s="10" t="str">
        <f>IF(E12&gt;0,"Surplus",IF(E12&lt;0,"Defisit","Seimbang"))</f>
        <v>Seimbang</v>
      </c>
    </row>
    <row r="13" spans="2:6" ht="20.100000000000001" customHeight="1" x14ac:dyDescent="0.25">
      <c r="B13" s="35" t="s">
        <v>51</v>
      </c>
      <c r="C13" s="11">
        <f>'Laporan Bulanan'!C4</f>
        <v>0</v>
      </c>
      <c r="D13" s="11">
        <f>'Laporan Bulanan'!D4</f>
        <v>0</v>
      </c>
      <c r="E13" s="11">
        <f>C13-D13</f>
        <v>0</v>
      </c>
      <c r="F13" s="10" t="str">
        <f>IF(E13&gt;0,"Surplus",IF(E13&lt;0,"Defisit","Seimbang"))</f>
        <v>Seimbang</v>
      </c>
    </row>
    <row r="14" spans="2:6" ht="20.100000000000001" customHeight="1" x14ac:dyDescent="0.25">
      <c r="B14" s="35" t="s">
        <v>52</v>
      </c>
      <c r="C14" s="11">
        <f>'Laporan Bulanan'!C5</f>
        <v>0</v>
      </c>
      <c r="D14" s="11">
        <f>'Laporan Bulanan'!D5</f>
        <v>0</v>
      </c>
      <c r="E14" s="11">
        <f>C14-D14</f>
        <v>0</v>
      </c>
      <c r="F14" s="10" t="str">
        <f>IF(E14&gt;0,"Surplus",IF(E14&lt;0,"Defisit","Seimbang"))</f>
        <v>Seimbang</v>
      </c>
    </row>
    <row r="15" spans="2:6" ht="20.100000000000001" customHeight="1" x14ac:dyDescent="0.25">
      <c r="B15" s="35" t="s">
        <v>53</v>
      </c>
      <c r="C15" s="11">
        <f>'Laporan Bulanan'!C6</f>
        <v>0</v>
      </c>
      <c r="D15" s="11">
        <f>'Laporan Bulanan'!D6</f>
        <v>0</v>
      </c>
      <c r="E15" s="11">
        <f>C15-D15</f>
        <v>0</v>
      </c>
      <c r="F15" s="10" t="str">
        <f>IF(E15&gt;0,"Surplus",IF(E15&lt;0,"Defisit","Seimbang"))</f>
        <v>Seimbang</v>
      </c>
    </row>
    <row r="16" spans="2:6" ht="20.100000000000001" customHeight="1" x14ac:dyDescent="0.25">
      <c r="B16" s="35" t="s">
        <v>54</v>
      </c>
      <c r="C16" s="11">
        <f>'Laporan Bulanan'!C7</f>
        <v>0</v>
      </c>
      <c r="D16" s="11">
        <f>'Laporan Bulanan'!D7</f>
        <v>0</v>
      </c>
      <c r="E16" s="11">
        <f>C16-D16</f>
        <v>0</v>
      </c>
      <c r="F16" s="10" t="str">
        <f>IF(E16&gt;0,"Surplus",IF(E16&lt;0,"Defisit","Seimbang"))</f>
        <v>Seimbang</v>
      </c>
    </row>
    <row r="17" spans="2:6" ht="20.100000000000001" customHeight="1" x14ac:dyDescent="0.25">
      <c r="B17" s="35" t="s">
        <v>55</v>
      </c>
      <c r="C17" s="11">
        <f>'Laporan Bulanan'!C8</f>
        <v>0</v>
      </c>
      <c r="D17" s="11">
        <f>'Laporan Bulanan'!D8</f>
        <v>0</v>
      </c>
      <c r="E17" s="11">
        <f>C17-D17</f>
        <v>0</v>
      </c>
      <c r="F17" s="10" t="str">
        <f>IF(E17&gt;0,"Surplus",IF(E17&lt;0,"Defisit","Seimbang"))</f>
        <v>Seimbang</v>
      </c>
    </row>
    <row r="18" spans="2:6" ht="20.100000000000001" customHeight="1" x14ac:dyDescent="0.25">
      <c r="B18" s="35" t="s">
        <v>56</v>
      </c>
      <c r="C18" s="11">
        <f>'Laporan Bulanan'!C9</f>
        <v>0</v>
      </c>
      <c r="D18" s="11">
        <f>'Laporan Bulanan'!D9</f>
        <v>0</v>
      </c>
      <c r="E18" s="11">
        <f>C18-D18</f>
        <v>0</v>
      </c>
      <c r="F18" s="10" t="str">
        <f>IF(E18&gt;0,"Surplus",IF(E18&lt;0,"Defisit","Seimbang"))</f>
        <v>Seimbang</v>
      </c>
    </row>
    <row r="19" spans="2:6" ht="20.100000000000001" customHeight="1" x14ac:dyDescent="0.25">
      <c r="B19" s="35" t="s">
        <v>57</v>
      </c>
      <c r="C19" s="11">
        <f>'Laporan Bulanan'!C10</f>
        <v>0</v>
      </c>
      <c r="D19" s="11">
        <f>'Laporan Bulanan'!D10</f>
        <v>0</v>
      </c>
      <c r="E19" s="11">
        <f>C19-D19</f>
        <v>0</v>
      </c>
      <c r="F19" s="10" t="str">
        <f>IF(E19&gt;0,"Surplus",IF(E19&lt;0,"Defisit","Seimbang"))</f>
        <v>Seimbang</v>
      </c>
    </row>
    <row r="20" spans="2:6" ht="20.100000000000001" customHeight="1" x14ac:dyDescent="0.25">
      <c r="B20" s="35" t="s">
        <v>58</v>
      </c>
      <c r="C20" s="11">
        <f>'Laporan Bulanan'!C11</f>
        <v>0</v>
      </c>
      <c r="D20" s="11">
        <f>'Laporan Bulanan'!D11</f>
        <v>0</v>
      </c>
      <c r="E20" s="11">
        <f>C20-D20</f>
        <v>0</v>
      </c>
      <c r="F20" s="10" t="str">
        <f>IF(E20&gt;0,"Surplus",IF(E20&lt;0,"Defisit","Seimbang"))</f>
        <v>Seimbang</v>
      </c>
    </row>
    <row r="21" spans="2:6" ht="20.100000000000001" customHeight="1" x14ac:dyDescent="0.25">
      <c r="B21" s="35" t="s">
        <v>59</v>
      </c>
      <c r="C21" s="11">
        <f>'Laporan Bulanan'!C12</f>
        <v>0</v>
      </c>
      <c r="D21" s="11">
        <f>'Laporan Bulanan'!D12</f>
        <v>0</v>
      </c>
      <c r="E21" s="11">
        <f>C21-D21</f>
        <v>0</v>
      </c>
      <c r="F21" s="10" t="str">
        <f>IF(E21&gt;0,"Surplus",IF(E21&lt;0,"Defisit","Seimbang"))</f>
        <v>Seimbang</v>
      </c>
    </row>
    <row r="22" spans="2:6" ht="20.100000000000001" customHeight="1" x14ac:dyDescent="0.25">
      <c r="B22" s="35" t="s">
        <v>60</v>
      </c>
      <c r="C22" s="11">
        <f>'Laporan Bulanan'!C13</f>
        <v>0</v>
      </c>
      <c r="D22" s="11">
        <f>'Laporan Bulanan'!D13</f>
        <v>0</v>
      </c>
      <c r="E22" s="11">
        <f>C22-D22</f>
        <v>0</v>
      </c>
      <c r="F22" s="10" t="str">
        <f>IF(E22&gt;0,"Surplus",IF(E22&lt;0,"Defisit","Seimbang"))</f>
        <v>Seimbang</v>
      </c>
    </row>
    <row r="23" spans="2:6" ht="20.100000000000001" customHeight="1" x14ac:dyDescent="0.25">
      <c r="B23" s="35" t="s">
        <v>61</v>
      </c>
      <c r="C23" s="11">
        <f>'Laporan Bulanan'!C14</f>
        <v>0</v>
      </c>
      <c r="D23" s="11">
        <f>'Laporan Bulanan'!D14</f>
        <v>0</v>
      </c>
      <c r="E23" s="11">
        <f>C23-D23</f>
        <v>0</v>
      </c>
      <c r="F23" s="10" t="str">
        <f>IF(E23&gt;0,"Surplus",IF(E23&lt;0,"Defisit","Seimbang"))</f>
        <v>Seimbang</v>
      </c>
    </row>
  </sheetData>
  <mergeCells count="4">
    <mergeCell ref="B2:F2"/>
    <mergeCell ref="B3:F3"/>
    <mergeCell ref="B8:F8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Buku Kas</vt:lpstr>
      <vt:lpstr>Kegiatan</vt:lpstr>
      <vt:lpstr>RAB</vt:lpstr>
      <vt:lpstr>Laporan Bulanan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 DINI P</dc:creator>
  <cp:lastModifiedBy>NENG DINI P</cp:lastModifiedBy>
  <dcterms:created xsi:type="dcterms:W3CDTF">2026-08-31T06:01:53Z</dcterms:created>
  <dcterms:modified xsi:type="dcterms:W3CDTF">2026-08-31T06:02:15Z</dcterms:modified>
</cp:coreProperties>
</file>